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사용설명서" sheetId="1" state="visible" r:id="rId1"/>
    <sheet xmlns:r="http://schemas.openxmlformats.org/officeDocument/2006/relationships" name="가중치 매트릭스" sheetId="2" state="visible" r:id="rId2"/>
    <sheet xmlns:r="http://schemas.openxmlformats.org/officeDocument/2006/relationships" name="★백서연결" sheetId="3" state="visible" r:id="rId3"/>
    <sheet xmlns:r="http://schemas.openxmlformats.org/officeDocument/2006/relationships" name="3축 등급 기준" sheetId="4" state="visible" r:id="rId4"/>
    <sheet xmlns:r="http://schemas.openxmlformats.org/officeDocument/2006/relationships" name="27패턴 마스터(분포+처방)" sheetId="5" state="visible" r:id="rId5"/>
    <sheet xmlns:r="http://schemas.openxmlformats.org/officeDocument/2006/relationships" name="실전 상담 워크시트" sheetId="6" state="visible" r:id="rId6"/>
    <sheet xmlns:r="http://schemas.openxmlformats.org/officeDocument/2006/relationships" name="5. 가중치 및 비율 근거 자료" sheetId="7" state="visible" r:id="rId7"/>
    <sheet xmlns:r="http://schemas.openxmlformats.org/officeDocument/2006/relationships" name="속설·습관 처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0">
    <font>
      <name val="Calibri"/>
      <family val="2"/>
      <color theme="1"/>
      <sz val="11"/>
      <scheme val="minor"/>
    </font>
    <font>
      <name val="Malgun Gothic"/>
      <b val="1"/>
      <color rgb="001B365D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  <font>
      <name val="Malgun Gothic"/>
      <b val="1"/>
      <color rgb="001B365D"/>
      <sz val="11"/>
    </font>
    <font>
      <name val="Malgun Gothic"/>
      <color rgb="007F7F7F"/>
      <sz val="9"/>
    </font>
    <font>
      <name val="Malgun Gothic"/>
      <b val="1"/>
      <color rgb="00FF0000"/>
      <sz val="10"/>
    </font>
    <font>
      <name val="Malgun Gothic"/>
      <b val="1"/>
      <color rgb="00D9534F"/>
      <sz val="10"/>
    </font>
    <font>
      <name val="Malgun Gothic"/>
      <b val="1"/>
      <color rgb="001B365D"/>
      <sz val="10"/>
    </font>
    <font>
      <name val="Malgun Gothic"/>
      <b val="1"/>
      <color rgb="00FFFFFF"/>
      <sz val="15"/>
    </font>
    <font>
      <name val="Malgun Gothic"/>
      <b val="1"/>
      <color rgb="00C0392B"/>
      <sz val="10"/>
    </font>
    <font>
      <name val="Malgun Gothic"/>
      <b val="1"/>
      <color rgb="00C0392B"/>
      <sz val="12"/>
    </font>
    <font>
      <name val="Malgun Gothic"/>
      <i val="1"/>
      <color rgb="007F7F7F"/>
      <sz val="9"/>
    </font>
    <font>
      <name val="Malgun Gothic"/>
      <color rgb="0095A5A6"/>
      <sz val="9"/>
    </font>
    <font>
      <name val="Malgun Gothic"/>
      <color rgb="00333333"/>
      <sz val="10"/>
    </font>
    <font>
      <name val="Malgun Gothic"/>
      <b val="1"/>
      <color rgb="00C0392B"/>
      <sz val="11"/>
    </font>
    <font>
      <name val="Malgun Gothic"/>
      <i val="1"/>
      <color rgb="00555555"/>
      <sz val="9"/>
    </font>
    <font>
      <name val="맑은 고딕"/>
      <b val="1"/>
      <color rgb="00B8860B"/>
      <sz val="9"/>
    </font>
    <font>
      <name val="맑은 고딕"/>
      <b val="1"/>
      <color rgb="0015233B"/>
      <sz val="15"/>
    </font>
    <font>
      <name val="맑은 고딕"/>
      <color rgb="00555555"/>
      <sz val="9"/>
    </font>
    <font>
      <name val="맑은 고딕"/>
      <b val="1"/>
      <color rgb="0015233B"/>
      <sz val="12"/>
    </font>
    <font>
      <name val="맑은 고딕"/>
      <color rgb="001C2531"/>
      <sz val="10"/>
    </font>
    <font>
      <name val="맑은 고딕"/>
      <b val="1"/>
      <color rgb="001C2531"/>
      <sz val="10"/>
    </font>
    <font>
      <name val="맑은 고딕"/>
      <b val="1"/>
      <color rgb="001C2531"/>
      <sz val="10.5"/>
    </font>
    <font>
      <name val="맑은 고딕"/>
      <b val="1"/>
      <color rgb="0015233B"/>
      <sz val="10"/>
    </font>
    <font>
      <name val="맑은 고딕"/>
      <b val="1"/>
      <color rgb="00B8860B"/>
      <sz val="10"/>
    </font>
    <font>
      <name val="Noto Sans CJK SC"/>
      <charset val="1"/>
      <family val="2"/>
      <b val="1"/>
      <color rgb="FF15233B"/>
      <sz val="15"/>
    </font>
    <font>
      <name val="Noto Sans CJK SC"/>
      <charset val="1"/>
      <family val="2"/>
      <color rgb="FF7B8493"/>
      <sz val="9"/>
    </font>
    <font>
      <name val="맑은 고딕"/>
      <charset val="1"/>
      <family val="0"/>
      <b val="1"/>
      <color rgb="FFB08A3E"/>
      <sz val="12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9C4536"/>
      <sz val="10"/>
    </font>
    <font>
      <name val="Noto Sans CJK SC"/>
      <charset val="1"/>
      <family val="2"/>
      <color rgb="FF1C2531"/>
      <sz val="9"/>
    </font>
    <font>
      <name val="Noto Sans CJK SC"/>
      <charset val="1"/>
      <family val="2"/>
      <b val="1"/>
      <color rgb="FF2E7D32"/>
      <sz val="10"/>
    </font>
    <font>
      <name val="맑은 고딕"/>
      <charset val="1"/>
      <family val="0"/>
      <b val="1"/>
      <color rgb="FF15233B"/>
      <sz val="9"/>
    </font>
    <font>
      <name val="Noto Sans CJK SC"/>
      <charset val="1"/>
      <family val="2"/>
      <b val="1"/>
      <color rgb="FF1C2531"/>
      <sz val="10"/>
    </font>
    <font>
      <name val="맑은 고딕"/>
      <charset val="1"/>
      <family val="0"/>
      <color rgb="FF1C2531"/>
      <sz val="9"/>
    </font>
    <font>
      <name val="Noto Sans CJK SC"/>
      <charset val="1"/>
      <family val="2"/>
      <b val="1"/>
      <color rgb="FF2E7D32"/>
      <sz val="9"/>
    </font>
    <font>
      <name val="맑은 고딕"/>
      <color rgb="001C2531"/>
      <sz val="9.5"/>
    </font>
    <font>
      <name val="맑은 고딕"/>
      <color rgb="001C2531"/>
      <sz val="8.5"/>
    </font>
  </fonts>
  <fills count="2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E6F0FA"/>
        <bgColor rgb="00E6F0FA"/>
      </patternFill>
    </fill>
    <fill>
      <patternFill patternType="solid">
        <fgColor rgb="00F0F4F8"/>
        <bgColor rgb="00F0F4F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335A80"/>
        <bgColor rgb="00335A80"/>
      </patternFill>
    </fill>
    <fill>
      <patternFill patternType="solid">
        <fgColor rgb="00F8F9FA"/>
        <bgColor rgb="00F8F9FA"/>
      </patternFill>
    </fill>
    <fill>
      <patternFill patternType="solid">
        <fgColor rgb="00FDEDEC"/>
        <bgColor rgb="00FDEDEC"/>
      </patternFill>
    </fill>
    <fill>
      <patternFill patternType="solid">
        <fgColor rgb="00415B76"/>
        <bgColor rgb="00415B76"/>
      </patternFill>
    </fill>
    <fill>
      <patternFill patternType="solid">
        <fgColor rgb="00EAEDED"/>
        <bgColor rgb="00EAEDE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FF15233B"/>
        <bgColor rgb="FF1C2531"/>
      </patternFill>
    </fill>
    <fill>
      <patternFill patternType="solid">
        <fgColor rgb="FFFCE4E4"/>
        <bgColor rgb="FFFCE9D6"/>
      </patternFill>
    </fill>
    <fill>
      <patternFill patternType="solid">
        <fgColor rgb="FFE2EFDA"/>
        <bgColor rgb="FFE3ECF5"/>
      </patternFill>
    </fill>
    <fill>
      <patternFill patternType="solid">
        <fgColor rgb="00FBF0D9"/>
      </patternFill>
    </fill>
  </fills>
  <borders count="1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pivotButton="0" quotePrefix="0" xfId="0"/>
    <xf numFmtId="0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5" borderId="2" pivotButton="0" quotePrefix="0" xfId="0"/>
    <xf numFmtId="10" fontId="5" fillId="5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4" borderId="1" pivotButton="0" quotePrefix="0" xfId="0"/>
    <xf numFmtId="0" fontId="2" fillId="9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3" borderId="0" pivotButton="0" quotePrefix="0" xfId="0"/>
    <xf numFmtId="0" fontId="4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9" fillId="0" borderId="1" pivotButton="0" quotePrefix="0" xfId="0"/>
    <xf numFmtId="0" fontId="9" fillId="3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9" fillId="2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5" fillId="0" borderId="0" pivotButton="0" quotePrefix="0" xfId="0"/>
    <xf numFmtId="0" fontId="12" fillId="7" borderId="7" applyAlignment="1" pivotButton="0" quotePrefix="0" xfId="0">
      <alignment horizontal="center" vertical="center"/>
    </xf>
    <xf numFmtId="0" fontId="13" fillId="0" borderId="0" pivotButton="0" quotePrefix="0" xfId="0"/>
    <xf numFmtId="0" fontId="2" fillId="12" borderId="0" pivotButton="0" quotePrefix="0" xfId="0"/>
    <xf numFmtId="0" fontId="9" fillId="0" borderId="8" pivotButton="0" quotePrefix="0" xfId="0"/>
    <xf numFmtId="0" fontId="3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14" fillId="0" borderId="8" pivotButton="0" quotePrefix="0" xfId="0"/>
    <xf numFmtId="0" fontId="9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right" vertical="center"/>
    </xf>
    <xf numFmtId="0" fontId="2" fillId="3" borderId="8" pivotButton="0" quotePrefix="0" xfId="0"/>
    <xf numFmtId="0" fontId="4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9" fillId="0" borderId="0" pivotButton="0" quotePrefix="0" xfId="0"/>
    <xf numFmtId="0" fontId="9" fillId="13" borderId="8" applyAlignment="1" pivotButton="0" quotePrefix="0" xfId="0">
      <alignment horizontal="center" vertical="center"/>
    </xf>
    <xf numFmtId="2" fontId="16" fillId="7" borderId="7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14" borderId="0" applyAlignment="1" pivotButton="0" quotePrefix="0" xfId="0">
      <alignment vertical="top" wrapText="1"/>
    </xf>
    <xf numFmtId="0" fontId="24" fillId="15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vertical="top" wrapText="1"/>
    </xf>
    <xf numFmtId="0" fontId="22" fillId="16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20" fillId="17" borderId="0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25" fillId="0" borderId="13" applyAlignment="1" pivotButton="0" quotePrefix="0" xfId="0">
      <alignment horizontal="center" vertical="center"/>
    </xf>
    <xf numFmtId="0" fontId="26" fillId="17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18" borderId="18" applyAlignment="1" pivotButton="0" quotePrefix="0" xfId="0">
      <alignment horizontal="center" vertical="center" wrapText="1"/>
    </xf>
    <xf numFmtId="0" fontId="31" fillId="19" borderId="18" applyAlignment="1" pivotButton="0" quotePrefix="0" xfId="0">
      <alignment horizontal="left" vertical="center" wrapText="1"/>
    </xf>
    <xf numFmtId="0" fontId="32" fillId="0" borderId="18" applyAlignment="1" pivotButton="0" quotePrefix="0" xfId="0">
      <alignment horizontal="left" vertical="center" wrapText="1"/>
    </xf>
    <xf numFmtId="0" fontId="33" fillId="20" borderId="18" applyAlignment="1" pivotButton="0" quotePrefix="0" xfId="0">
      <alignment horizontal="left" vertical="center" wrapText="1"/>
    </xf>
    <xf numFmtId="0" fontId="34" fillId="0" borderId="18" applyAlignment="1" pivotButton="0" quotePrefix="0" xfId="0">
      <alignment horizontal="center" vertical="center" wrapText="1"/>
    </xf>
    <xf numFmtId="0" fontId="35" fillId="19" borderId="18" applyAlignment="1" pivotButton="0" quotePrefix="0" xfId="0">
      <alignment horizontal="left" vertical="center" wrapText="1"/>
    </xf>
    <xf numFmtId="0" fontId="36" fillId="0" borderId="18" applyAlignment="1" pivotButton="0" quotePrefix="0" xfId="0">
      <alignment horizontal="left" vertical="center" wrapText="1"/>
    </xf>
    <xf numFmtId="0" fontId="35" fillId="20" borderId="18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38" fillId="0" borderId="13" applyAlignment="1" pivotButton="0" quotePrefix="0" xfId="0">
      <alignment vertical="top" wrapText="1"/>
    </xf>
    <xf numFmtId="0" fontId="38" fillId="21" borderId="13" applyAlignment="1" pivotButton="0" quotePrefix="0" xfId="0">
      <alignment vertical="top" wrapText="1"/>
    </xf>
    <xf numFmtId="0" fontId="23" fillId="15" borderId="13" applyAlignment="1" pivotButton="0" quotePrefix="0" xfId="0">
      <alignment horizontal="center" vertical="center"/>
    </xf>
    <xf numFmtId="0" fontId="39" fillId="0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30" customWidth="1" min="4" max="4"/>
    <col width="16" customWidth="1" min="5" max="5"/>
    <col width="12" customWidth="1" min="6" max="6"/>
  </cols>
  <sheetData>
    <row r="2">
      <c r="B2" s="78" t="inlineStr">
        <is>
          <t>BioCode 333 통합세트 v11.0</t>
        </is>
      </c>
    </row>
    <row r="3">
      <c r="B3" s="79" t="inlineStr">
        <is>
          <t>📖 엔진 사용설명서 (SOP)</t>
        </is>
      </c>
    </row>
    <row r="4">
      <c r="B4" s="80" t="inlineStr">
        <is>
          <t>이 시트만 따라 하면 누구나 BioCode를 계산하고 백서로 설명할 수 있습니다.</t>
        </is>
      </c>
    </row>
    <row r="6">
      <c r="B6" s="81" t="inlineStr">
        <is>
          <t>■ 0. 큰 그림 — 엔진은 무엇을 하나</t>
        </is>
      </c>
    </row>
    <row r="7">
      <c r="B7" s="82" t="inlineStr">
        <is>
          <t>7개 입력 → 3축(선천·대사·생활) 점수 → 단계(1·2·3) → BioCode 세 자리 → 27패턴 → 처방</t>
        </is>
      </c>
    </row>
    <row r="8" ht="30" customHeight="1">
      <c r="B8" s="83" t="inlineStr">
        <is>
          <t>핵심: 코드 첫째자리=선천(타고난 것), 둘째=대사(먹고 흡수·저장), 셋째=생활(수면·활동). 예) 1-2-2</t>
        </is>
      </c>
    </row>
    <row r="10">
      <c r="B10" s="81" t="inlineStr">
        <is>
          <t>■ 1. 입력값 7개와 3축 배분</t>
        </is>
      </c>
    </row>
    <row r="11">
      <c r="B11" s="84" t="inlineStr">
        <is>
          <t>입력값</t>
        </is>
      </c>
      <c r="C11" s="84" t="inlineStr">
        <is>
          <t>보는 것</t>
        </is>
      </c>
      <c r="D11" s="84" t="inlineStr">
        <is>
          <t>선천40</t>
        </is>
      </c>
      <c r="E11" s="84" t="inlineStr">
        <is>
          <t>대사35</t>
        </is>
      </c>
      <c r="F11" s="84" t="inlineStr">
        <is>
          <t>생활25</t>
        </is>
      </c>
    </row>
    <row r="12">
      <c r="B12" s="85" t="inlineStr">
        <is>
          <t>유전키(부모키)</t>
        </is>
      </c>
      <c r="C12" s="85" t="inlineStr">
        <is>
          <t>신장 잠재력</t>
        </is>
      </c>
      <c r="D12" s="86" t="inlineStr">
        <is>
          <t>30</t>
        </is>
      </c>
      <c r="E12" s="87" t="inlineStr">
        <is>
          <t>-</t>
        </is>
      </c>
      <c r="F12" s="87" t="inlineStr">
        <is>
          <t>-</t>
        </is>
      </c>
    </row>
    <row r="13">
      <c r="B13" s="85" t="inlineStr">
        <is>
          <t>음양오행(만세력)</t>
        </is>
      </c>
      <c r="C13" s="85" t="inlineStr">
        <is>
          <t>생년월일시 오행</t>
        </is>
      </c>
      <c r="D13" s="86" t="inlineStr">
        <is>
          <t>25</t>
        </is>
      </c>
      <c r="E13" s="87" t="inlineStr">
        <is>
          <t>-</t>
        </is>
      </c>
      <c r="F13" s="87" t="inlineStr">
        <is>
          <t>-</t>
        </is>
      </c>
    </row>
    <row r="14">
      <c r="B14" s="85" t="inlineStr">
        <is>
          <t>사상의학 체질</t>
        </is>
      </c>
      <c r="C14" s="85" t="inlineStr">
        <is>
          <t>체질 상수</t>
        </is>
      </c>
      <c r="D14" s="86" t="inlineStr">
        <is>
          <t>25</t>
        </is>
      </c>
      <c r="E14" s="87" t="inlineStr">
        <is>
          <t>-</t>
        </is>
      </c>
      <c r="F14" s="87" t="inlineStr">
        <is>
          <t>-</t>
        </is>
      </c>
    </row>
    <row r="15">
      <c r="B15" s="85" t="inlineStr">
        <is>
          <t>심·성·정 기질</t>
        </is>
      </c>
      <c r="C15" s="85" t="inlineStr">
        <is>
          <t>선천 정서</t>
        </is>
      </c>
      <c r="D15" s="86" t="inlineStr">
        <is>
          <t>20</t>
        </is>
      </c>
      <c r="E15" s="87" t="inlineStr">
        <is>
          <t>-</t>
        </is>
      </c>
      <c r="F15" s="87" t="inlineStr">
        <is>
          <t>-</t>
        </is>
      </c>
    </row>
    <row r="16">
      <c r="B16" s="85" t="inlineStr">
        <is>
          <t>인바디 실측</t>
        </is>
      </c>
      <c r="C16" s="85" t="inlineStr">
        <is>
          <t>체성분</t>
        </is>
      </c>
      <c r="D16" s="87" t="inlineStr">
        <is>
          <t>-</t>
        </is>
      </c>
      <c r="E16" s="86" t="inlineStr">
        <is>
          <t>50</t>
        </is>
      </c>
      <c r="F16" s="86" t="inlineStr">
        <is>
          <t>20</t>
        </is>
      </c>
    </row>
    <row r="17">
      <c r="B17" s="85" t="inlineStr">
        <is>
          <t>설문(정신·위장)</t>
        </is>
      </c>
      <c r="C17" s="85" t="inlineStr">
        <is>
          <t>예민성</t>
        </is>
      </c>
      <c r="D17" s="87" t="inlineStr">
        <is>
          <t>-</t>
        </is>
      </c>
      <c r="E17" s="86" t="inlineStr">
        <is>
          <t>50</t>
        </is>
      </c>
      <c r="F17" s="86" t="inlineStr">
        <is>
          <t>10</t>
        </is>
      </c>
    </row>
    <row r="18">
      <c r="B18" s="85" t="inlineStr">
        <is>
          <t>설문(수면·활동)</t>
        </is>
      </c>
      <c r="C18" s="85" t="inlineStr">
        <is>
          <t>생활 루틴</t>
        </is>
      </c>
      <c r="D18" s="87" t="inlineStr">
        <is>
          <t>-</t>
        </is>
      </c>
      <c r="E18" s="87" t="inlineStr">
        <is>
          <t>-</t>
        </is>
      </c>
      <c r="F18" s="86" t="inlineStr">
        <is>
          <t>70</t>
        </is>
      </c>
    </row>
    <row r="19" ht="28" customHeight="1">
      <c r="B19" s="88" t="inlineStr">
        <is>
          <t>★ 각 축 가중치: 선천40% · 대사35% · 생활25% (합100). 유전키는 선천 안에 포함(BioCode 반영), 목표키 산정에도 활용</t>
        </is>
      </c>
    </row>
    <row r="21">
      <c r="B21" s="81" t="inlineStr">
        <is>
          <t>■ 2. BioCode 계산 6단계 ([가중치 매트릭스] 시트에서)</t>
        </is>
      </c>
    </row>
    <row r="22">
      <c r="B22" s="84" t="inlineStr">
        <is>
          <t>단계</t>
        </is>
      </c>
      <c r="C22" s="84" t="inlineStr">
        <is>
          <t>이름</t>
        </is>
      </c>
      <c r="D22" s="84" t="inlineStr">
        <is>
          <t>하는 일</t>
        </is>
      </c>
      <c r="E22" s="89" t="n"/>
      <c r="F22" s="90" t="n"/>
    </row>
    <row r="23" ht="30" customHeight="1">
      <c r="B23" s="91" t="inlineStr">
        <is>
          <t>STEP 1</t>
        </is>
      </c>
      <c r="C23" s="85" t="inlineStr">
        <is>
          <t>입력 수집</t>
        </is>
      </c>
      <c r="D23" s="85" t="inlineStr">
        <is>
          <t>부모키·생년월일시·인바디·설문 받기</t>
        </is>
      </c>
      <c r="E23" s="89" t="n"/>
      <c r="F23" s="90" t="n"/>
    </row>
    <row r="24" ht="30" customHeight="1">
      <c r="B24" s="91" t="inlineStr">
        <is>
          <t>STEP 2</t>
        </is>
      </c>
      <c r="C24" s="85" t="inlineStr">
        <is>
          <t>선천 산출</t>
        </is>
      </c>
      <c r="D24" s="85" t="inlineStr">
        <is>
          <t>만세력 오행+사상체질+심성정+유전키 → 선천 점수(40점 만점)</t>
        </is>
      </c>
      <c r="E24" s="89" t="n"/>
      <c r="F24" s="90" t="n"/>
    </row>
    <row r="25" ht="30" customHeight="1">
      <c r="B25" s="91" t="inlineStr">
        <is>
          <t>STEP 3</t>
        </is>
      </c>
      <c r="C25" s="85" t="inlineStr">
        <is>
          <t>대사 산출</t>
        </is>
      </c>
      <c r="D25" s="85" t="inlineStr">
        <is>
          <t>인바디50+위장설문50 → 대사 점수(35점 만점)</t>
        </is>
      </c>
      <c r="E25" s="89" t="n"/>
      <c r="F25" s="90" t="n"/>
    </row>
    <row r="26" ht="30" customHeight="1">
      <c r="B26" s="91" t="inlineStr">
        <is>
          <t>STEP 4</t>
        </is>
      </c>
      <c r="C26" s="85" t="inlineStr">
        <is>
          <t>생활 산출</t>
        </is>
      </c>
      <c r="D26" s="85" t="inlineStr">
        <is>
          <t>수면설문70+위장10+인바디20 → 생활 점수(25점 만점)</t>
        </is>
      </c>
      <c r="E26" s="89" t="n"/>
      <c r="F26" s="90" t="n"/>
    </row>
    <row r="27" ht="30" customHeight="1">
      <c r="B27" s="91" t="inlineStr">
        <is>
          <t>STEP 5</t>
        </is>
      </c>
      <c r="C27" s="85" t="inlineStr">
        <is>
          <t>단계 변환</t>
        </is>
      </c>
      <c r="D27" s="85" t="inlineStr">
        <is>
          <t>[3축 등급기준] 시트로 각 축 1·2·3단계</t>
        </is>
      </c>
      <c r="E27" s="89" t="n"/>
      <c r="F27" s="90" t="n"/>
    </row>
    <row r="28" ht="30" customHeight="1">
      <c r="B28" s="91" t="inlineStr">
        <is>
          <t>STEP 6</t>
        </is>
      </c>
      <c r="C28" s="85" t="inlineStr">
        <is>
          <t>코드·처방</t>
        </is>
      </c>
      <c r="D28" s="85" t="inlineStr">
        <is>
          <t>세 단계 이어붙여 BioCode → [27패턴]에서 캐릭터+처방</t>
        </is>
      </c>
      <c r="E28" s="89" t="n"/>
      <c r="F28" s="90" t="n"/>
    </row>
    <row r="30">
      <c r="B30" s="81" t="inlineStr">
        <is>
          <t>■ 3. 단계 컷오프 (축별 만점이 달라 구간도 다름)</t>
        </is>
      </c>
    </row>
    <row r="31">
      <c r="B31" s="84" t="inlineStr">
        <is>
          <t>축</t>
        </is>
      </c>
      <c r="C31" s="84" t="inlineStr">
        <is>
          <t>만점</t>
        </is>
      </c>
      <c r="D31" s="84" t="inlineStr">
        <is>
          <t>1단계(Low)</t>
        </is>
      </c>
      <c r="E31" s="84" t="inlineStr">
        <is>
          <t>2단계(Med)</t>
        </is>
      </c>
      <c r="F31" s="84" t="inlineStr">
        <is>
          <t>3단계(High)</t>
        </is>
      </c>
    </row>
    <row r="32">
      <c r="B32" s="87" t="inlineStr">
        <is>
          <t>선천 Body</t>
        </is>
      </c>
      <c r="C32" s="87" t="inlineStr">
        <is>
          <t>40</t>
        </is>
      </c>
      <c r="D32" s="87" t="inlineStr">
        <is>
          <t>0~14</t>
        </is>
      </c>
      <c r="E32" s="87" t="inlineStr">
        <is>
          <t>14~28</t>
        </is>
      </c>
      <c r="F32" s="87" t="inlineStr">
        <is>
          <t>28~40</t>
        </is>
      </c>
    </row>
    <row r="33">
      <c r="B33" s="87" t="inlineStr">
        <is>
          <t>대사 Metabolism</t>
        </is>
      </c>
      <c r="C33" s="87" t="inlineStr">
        <is>
          <t>35</t>
        </is>
      </c>
      <c r="D33" s="87" t="inlineStr">
        <is>
          <t>0~11</t>
        </is>
      </c>
      <c r="E33" s="87" t="inlineStr">
        <is>
          <t>11~24</t>
        </is>
      </c>
      <c r="F33" s="87" t="inlineStr">
        <is>
          <t>24~35</t>
        </is>
      </c>
    </row>
    <row r="34">
      <c r="B34" s="87" t="inlineStr">
        <is>
          <t>생활 Behavior</t>
        </is>
      </c>
      <c r="C34" s="87" t="inlineStr">
        <is>
          <t>25</t>
        </is>
      </c>
      <c r="D34" s="87" t="inlineStr">
        <is>
          <t>0~8</t>
        </is>
      </c>
      <c r="E34" s="87" t="inlineStr">
        <is>
          <t>8~17</t>
        </is>
      </c>
      <c r="F34" s="87" t="inlineStr">
        <is>
          <t>17~25</t>
        </is>
      </c>
    </row>
    <row r="36">
      <c r="B36" s="81" t="inlineStr">
        <is>
          <t>■ 4. 15% 종목보정 — 목표에만, 기준숫자엔 미적용</t>
        </is>
      </c>
    </row>
    <row r="37" ht="42" customHeight="1">
      <c r="B37" s="83" t="inlineStr">
        <is>
          <t>1.15 계수는 [가중치 매트릭스]의 변수박스. 아이 실제 치수·BioCode·예상키는 그대로 두고, 목표 스펙(KBO·대학 사다리) 표시에만 종목 특성(농구·배구↑)을 슬라이딩 반영. 계산 숫자는 절대 안 건드림.</t>
        </is>
      </c>
    </row>
    <row r="39">
      <c r="B39" s="81" t="inlineStr">
        <is>
          <t>■ 5. 흔한 실수 체크</t>
        </is>
      </c>
    </row>
    <row r="40">
      <c r="B40" s="82" t="inlineStr">
        <is>
          <t>□ 코드 자리 순서 = 선천-대사-생활 (흡수·활동·저장 아님)</t>
        </is>
      </c>
    </row>
    <row r="41">
      <c r="B41" s="82" t="inlineStr">
        <is>
          <t>□ 각 축 만점 다름(40·35·25) → 컷오프도 다름</t>
        </is>
      </c>
    </row>
    <row r="42">
      <c r="B42" s="82" t="inlineStr">
        <is>
          <t>□ 유전키는 선천 안에 포함(BioCode 반영). 목표키 산정에도 씀</t>
        </is>
      </c>
    </row>
    <row r="43">
      <c r="B43" s="82" t="inlineStr">
        <is>
          <t>□ 15% 보정은 목표 표시에만, 점수·예상키엔 미적용</t>
        </is>
      </c>
    </row>
    <row r="44">
      <c r="B44" s="82" t="inlineStr">
        <is>
          <t>□ 설문 역채점 문항 뒤집었는지 (6-점수)</t>
        </is>
      </c>
    </row>
    <row r="46">
      <c r="B46" s="92" t="inlineStr">
        <is>
          <t>▶ 계산의 근거(왜?)는 「★백서연결」 시트 + 「5.근거자료」 시트에서 확인</t>
        </is>
      </c>
    </row>
    <row r="48">
      <c r="B48" s="81" t="inlineStr">
        <is>
          <t>■ 참고: 만세력 DB는 별도 파일</t>
        </is>
      </c>
    </row>
    <row r="49" ht="30" customHeight="1">
      <c r="B49" s="82" t="inlineStr">
        <is>
          <t>생년월일시→오행 변환표(3289행)는 「만세력_DB.xlsx」로 분리 관리. 음양오행 스코어 산출 시 그 파일을 참조한다. (엔진 가벼움 유지)</t>
        </is>
      </c>
    </row>
  </sheetData>
  <mergeCells count="18">
    <mergeCell ref="B44:F44"/>
    <mergeCell ref="B43:F43"/>
    <mergeCell ref="B7:F7"/>
    <mergeCell ref="D28:F28"/>
    <mergeCell ref="D27:F27"/>
    <mergeCell ref="D23:F23"/>
    <mergeCell ref="B49:F49"/>
    <mergeCell ref="B42:F42"/>
    <mergeCell ref="D22:F22"/>
    <mergeCell ref="B19:F19"/>
    <mergeCell ref="B37:F37"/>
    <mergeCell ref="D26:F26"/>
    <mergeCell ref="B46:F46"/>
    <mergeCell ref="B8:F8"/>
    <mergeCell ref="D25:F25"/>
    <mergeCell ref="B40:F40"/>
    <mergeCell ref="B41:F41"/>
    <mergeCell ref="D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38" customWidth="1" min="4" max="4"/>
    <col width="13" customWidth="1" min="5" max="5"/>
    <col width="36" customWidth="1" min="6" max="6"/>
    <col width="13" customWidth="1" min="7" max="7"/>
    <col width="15" customWidth="1" min="8" max="8"/>
  </cols>
  <sheetData>
    <row r="1" ht="30" customHeight="1">
      <c r="A1" s="1" t="inlineStr">
        <is>
          <t>BioCode 333 Engine v1.0 정밀 가중치 매트릭스 (선천/대사/생활 3축 완벽 정렬)</t>
        </is>
      </c>
    </row>
    <row r="2" ht="25" customHeight="1">
      <c r="A2" s="2" t="inlineStr">
        <is>
          <t>입력 데이터 영역</t>
        </is>
      </c>
      <c r="B2" s="2" t="inlineStr">
        <is>
          <t>타고난 기질 (선천)
[축 가중치: 40%]</t>
        </is>
      </c>
      <c r="D2" s="2" t="inlineStr">
        <is>
          <t>Metabolism (대사)
[축 가중치: 35%]</t>
        </is>
      </c>
      <c r="F2" s="2" t="inlineStr">
        <is>
          <t>Behavior (생활)
[축 가중치: 25%]</t>
        </is>
      </c>
      <c r="H2" s="2" t="inlineStr">
        <is>
          <t>최종 환산 반영도</t>
        </is>
      </c>
    </row>
    <row r="3" ht="25" customHeight="1">
      <c r="B3" s="3" t="inlineStr">
        <is>
          <t>내부 비중</t>
        </is>
      </c>
      <c r="C3" s="3" t="inlineStr">
        <is>
          <t>환산 점수</t>
        </is>
      </c>
      <c r="D3" s="3" t="inlineStr">
        <is>
          <t>내부 비중</t>
        </is>
      </c>
      <c r="E3" s="3" t="inlineStr">
        <is>
          <t>환산 점수</t>
        </is>
      </c>
      <c r="F3" s="3" t="inlineStr">
        <is>
          <t>내부 비중</t>
        </is>
      </c>
      <c r="G3" s="3" t="inlineStr">
        <is>
          <t>환산 점수</t>
        </is>
      </c>
    </row>
    <row r="4" ht="22" customHeight="1">
      <c r="A4" s="4" t="inlineStr">
        <is>
          <t>유전키 (부모 신장 잠재력)</t>
        </is>
      </c>
      <c r="B4" s="5" t="n">
        <v>30</v>
      </c>
      <c r="C4" s="6">
        <f>B4*0.4</f>
        <v/>
      </c>
      <c r="D4" s="5" t="n">
        <v>0</v>
      </c>
      <c r="E4" s="6">
        <f>D4*0.35</f>
        <v/>
      </c>
      <c r="F4" s="5" t="n">
        <v>0</v>
      </c>
      <c r="G4" s="6">
        <f>F4*0.25</f>
        <v/>
      </c>
      <c r="H4" s="7">
        <f>C4+E4+G4</f>
        <v/>
      </c>
    </row>
    <row r="5" ht="22" customHeight="1">
      <c r="A5" s="4" t="inlineStr">
        <is>
          <t>음양오행 (만세력 스코어)</t>
        </is>
      </c>
      <c r="B5" s="5" t="n">
        <v>25</v>
      </c>
      <c r="C5" s="6">
        <f>B5*0.4</f>
        <v/>
      </c>
      <c r="D5" s="5" t="n">
        <v>0</v>
      </c>
      <c r="E5" s="6">
        <f>D5*0.35</f>
        <v/>
      </c>
      <c r="F5" s="5" t="n">
        <v>0</v>
      </c>
      <c r="G5" s="6">
        <f>F5*0.25</f>
        <v/>
      </c>
      <c r="H5" s="7">
        <f>C5+E5+G5</f>
        <v/>
      </c>
    </row>
    <row r="6" ht="22" customHeight="1">
      <c r="A6" s="4" t="inlineStr">
        <is>
          <t>사상의학 체질 상수</t>
        </is>
      </c>
      <c r="B6" s="5" t="n">
        <v>25</v>
      </c>
      <c r="C6" s="6">
        <f>B6*0.4</f>
        <v/>
      </c>
      <c r="D6" s="5" t="n">
        <v>0</v>
      </c>
      <c r="E6" s="6">
        <f>D6*0.35</f>
        <v/>
      </c>
      <c r="F6" s="5" t="n">
        <v>0</v>
      </c>
      <c r="G6" s="6">
        <f>F6*0.25</f>
        <v/>
      </c>
      <c r="H6" s="7">
        <f>C6+E6+G6</f>
        <v/>
      </c>
    </row>
    <row r="7" ht="22" customHeight="1">
      <c r="A7" s="4" t="inlineStr">
        <is>
          <t>심·성·정 선천 기질 변수</t>
        </is>
      </c>
      <c r="B7" s="5" t="n">
        <v>20</v>
      </c>
      <c r="C7" s="6">
        <f>B7*0.4</f>
        <v/>
      </c>
      <c r="D7" s="5" t="n">
        <v>0</v>
      </c>
      <c r="E7" s="6">
        <f>D7*0.35</f>
        <v/>
      </c>
      <c r="F7" s="5" t="n">
        <v>0</v>
      </c>
      <c r="G7" s="6">
        <f>F7*0.25</f>
        <v/>
      </c>
      <c r="H7" s="7">
        <f>C7+E7+G7</f>
        <v/>
      </c>
    </row>
    <row r="8" ht="22" customHeight="1">
      <c r="A8" s="4" t="inlineStr">
        <is>
          <t>인바디 실측 (현재 체성분)</t>
        </is>
      </c>
      <c r="B8" s="5" t="n">
        <v>0</v>
      </c>
      <c r="C8" s="6">
        <f>B8*0.4</f>
        <v/>
      </c>
      <c r="D8" s="5" t="n">
        <v>50</v>
      </c>
      <c r="E8" s="6">
        <f>D8*0.35</f>
        <v/>
      </c>
      <c r="F8" s="5" t="n">
        <v>20</v>
      </c>
      <c r="G8" s="6">
        <f>F8*0.25</f>
        <v/>
      </c>
      <c r="H8" s="7">
        <f>C8+E8+G8</f>
        <v/>
      </c>
    </row>
    <row r="9" ht="22" customHeight="1">
      <c r="A9" s="4" t="inlineStr">
        <is>
          <t>설문 (정신·위장 예민성)</t>
        </is>
      </c>
      <c r="B9" s="5" t="n">
        <v>0</v>
      </c>
      <c r="C9" s="6">
        <f>B9*0.4</f>
        <v/>
      </c>
      <c r="D9" s="5" t="n">
        <v>50</v>
      </c>
      <c r="E9" s="6">
        <f>D9*0.35</f>
        <v/>
      </c>
      <c r="F9" s="5" t="n">
        <v>10</v>
      </c>
      <c r="G9" s="6">
        <f>F9*0.25</f>
        <v/>
      </c>
      <c r="H9" s="7">
        <f>C9+E9+G9</f>
        <v/>
      </c>
    </row>
    <row r="10" ht="22" customHeight="1">
      <c r="A10" s="4" t="inlineStr">
        <is>
          <t>설문 (수면 루틴·신체활동)</t>
        </is>
      </c>
      <c r="B10" s="5" t="n">
        <v>0</v>
      </c>
      <c r="C10" s="6">
        <f>B10*0.4</f>
        <v/>
      </c>
      <c r="D10" s="5" t="n">
        <v>0</v>
      </c>
      <c r="E10" s="6">
        <f>D10*0.35</f>
        <v/>
      </c>
      <c r="F10" s="5" t="n">
        <v>70</v>
      </c>
      <c r="G10" s="6">
        <f>F10*0.25</f>
        <v/>
      </c>
      <c r="H10" s="7">
        <f>C10+E10+G10</f>
        <v/>
      </c>
    </row>
    <row r="11">
      <c r="A11" s="8" t="inlineStr">
        <is>
          <t>축별 만점 합계</t>
        </is>
      </c>
      <c r="B11" s="68">
        <f>SUM(B4:B10)</f>
        <v/>
      </c>
      <c r="C11" s="69">
        <f>SUM(C4:C10)</f>
        <v/>
      </c>
      <c r="D11" s="68">
        <f>SUM(D4:D10)</f>
        <v/>
      </c>
      <c r="E11" s="69">
        <f>SUM(E4:E10)</f>
        <v/>
      </c>
      <c r="F11" s="68">
        <f>SUM(F4:F10)</f>
        <v/>
      </c>
      <c r="G11" s="69">
        <f>SUM(G4:G10)</f>
        <v/>
      </c>
      <c r="H11" s="11">
        <f>SUM(H4:H10)</f>
        <v/>
      </c>
    </row>
    <row r="13" ht="20" customHeight="1">
      <c r="A13" s="74" t="inlineStr">
        <is>
          <t>▶ 실시간 종목 보정 계수 변수 (Variable Box)</t>
        </is>
      </c>
    </row>
    <row r="14" ht="26" customHeight="1">
      <c r="A14" s="75" t="inlineStr">
        <is>
          <t>종목별 목표치수 보정계수</t>
        </is>
      </c>
      <c r="B14" s="76" t="n">
        <v>1.15</v>
      </c>
      <c r="C14" s="77" t="inlineStr">
        <is>
          <t>← [변수 조정 셀] 아이의 실제 치수는 100% 보존하되, 종목별 특성(농구/배구는 상향, 승마/기계체조는 하향 등)에 따라 '선수 기준 목표치수'만 동적으로 슬라이딩 연동하는 마스터 상수입니다.</t>
        </is>
      </c>
    </row>
  </sheetData>
  <mergeCells count="7">
    <mergeCell ref="F2:G2"/>
    <mergeCell ref="B2:C2"/>
    <mergeCell ref="D2:E2"/>
    <mergeCell ref="C14:H14"/>
    <mergeCell ref="A2:A3"/>
    <mergeCell ref="A1:H1"/>
    <mergeCell ref="H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18" customWidth="1" min="4" max="4"/>
    <col width="40" customWidth="1" min="5" max="5"/>
  </cols>
  <sheetData>
    <row r="2">
      <c r="B2" s="79" t="inlineStr">
        <is>
          <t>🔗 엔진 ↔ 백서 연결표 (v11)</t>
        </is>
      </c>
    </row>
    <row r="3">
      <c r="B3" s="105" t="inlineStr">
        <is>
          <t>새 3축(선천·대사·생활)의 각 계산이 백서 어느 장 근거인지 알려줍니다. 상담 시 이 표로 근거를 댑니다.</t>
        </is>
      </c>
    </row>
    <row r="5">
      <c r="B5" s="81" t="inlineStr">
        <is>
          <t>■ A. 엔진 계산 → 백서 근거</t>
        </is>
      </c>
    </row>
    <row r="6">
      <c r="B6" s="84" t="inlineStr">
        <is>
          <t>엔진 항목</t>
        </is>
      </c>
      <c r="C6" s="84" t="inlineStr">
        <is>
          <t>계산/규칙</t>
        </is>
      </c>
      <c r="D6" s="84" t="inlineStr">
        <is>
          <t>백서 장</t>
        </is>
      </c>
      <c r="E6" s="84" t="inlineStr">
        <is>
          <t>설명 한 줄 (부모용)</t>
        </is>
      </c>
    </row>
    <row r="7" ht="30" customHeight="1">
      <c r="B7" s="106" t="inlineStr">
        <is>
          <t>선천축-유전키</t>
        </is>
      </c>
      <c r="C7" s="106" t="inlineStr">
        <is>
          <t>부모키 MPH 잠재력</t>
        </is>
      </c>
      <c r="D7" s="107" t="inlineStr">
        <is>
          <t>제1장</t>
        </is>
      </c>
      <c r="E7" s="106" t="inlineStr">
        <is>
          <t>부모키로 예상키 분산 36%·유전율 74% 설명</t>
        </is>
      </c>
    </row>
    <row r="8" ht="30" customHeight="1">
      <c r="B8" s="106" t="inlineStr">
        <is>
          <t>선천축-음양오행</t>
        </is>
      </c>
      <c r="C8" s="106" t="inlineStr">
        <is>
          <t>만세력 오행 스코어</t>
        </is>
      </c>
      <c r="D8" s="107" t="inlineStr">
        <is>
          <t>제3·8장</t>
        </is>
      </c>
      <c r="E8" s="106" t="inlineStr">
        <is>
          <t>생년월일시 오행 우세로 타고난 대사 경향</t>
        </is>
      </c>
    </row>
    <row r="9" ht="30" customHeight="1">
      <c r="B9" s="106" t="inlineStr">
        <is>
          <t>선천축-사상체질</t>
        </is>
      </c>
      <c r="C9" s="106" t="inlineStr">
        <is>
          <t>소음/소양/태음 매핑</t>
        </is>
      </c>
      <c r="D9" s="107" t="inlineStr">
        <is>
          <t>제3·8장</t>
        </is>
      </c>
      <c r="E9" s="106" t="inlineStr">
        <is>
          <t>체질별 흡수·기질차. 소음인=위장 예민·흡수 한계</t>
        </is>
      </c>
    </row>
    <row r="10" ht="30" customHeight="1">
      <c r="B10" s="106" t="inlineStr">
        <is>
          <t>선천축-심성정</t>
        </is>
      </c>
      <c r="C10" s="106" t="inlineStr">
        <is>
          <t>성리학 사단칠정</t>
        </is>
      </c>
      <c r="D10" s="107" t="inlineStr">
        <is>
          <t>제8장</t>
        </is>
      </c>
      <c r="E10" s="106" t="inlineStr">
        <is>
          <t>심(통제)·성(기질)·정(감정) 정서 예민성 수치화</t>
        </is>
      </c>
    </row>
    <row r="11" ht="30" customHeight="1">
      <c r="B11" s="106" t="inlineStr">
        <is>
          <t>대사축-인바디</t>
        </is>
      </c>
      <c r="C11" s="106" t="inlineStr">
        <is>
          <t>체성분 실측 50%</t>
        </is>
      </c>
      <c r="D11" s="107" t="inlineStr">
        <is>
          <t>제6장</t>
        </is>
      </c>
      <c r="E11" s="106" t="inlineStr">
        <is>
          <t>골격근·체지방·BMI로 저장·흡수 효율</t>
        </is>
      </c>
    </row>
    <row r="12" ht="30" customHeight="1">
      <c r="B12" s="106" t="inlineStr">
        <is>
          <t>대사축-위장설문</t>
        </is>
      </c>
      <c r="C12" s="106" t="inlineStr">
        <is>
          <t>소화·흡수 예민성</t>
        </is>
      </c>
      <c r="D12" s="107" t="inlineStr">
        <is>
          <t>제2·8장</t>
        </is>
      </c>
      <c r="E12" s="106" t="inlineStr">
        <is>
          <t>신경성 위장→교감신경→소화효소 최대42%↓</t>
        </is>
      </c>
    </row>
    <row r="13" ht="30" customHeight="1">
      <c r="B13" s="106" t="inlineStr">
        <is>
          <t>생활축-수면설문</t>
        </is>
      </c>
      <c r="C13" s="106" t="inlineStr">
        <is>
          <t>수면·신체활동 70%</t>
        </is>
      </c>
      <c r="D13" s="107" t="inlineStr">
        <is>
          <t>제5장</t>
        </is>
      </c>
      <c r="E13" s="106" t="inlineStr">
        <is>
          <t>깊은잠 성장호르몬 4.5배·활동량</t>
        </is>
      </c>
    </row>
    <row r="14" ht="30" customHeight="1">
      <c r="B14" s="106" t="inlineStr">
        <is>
          <t>단계 컷오프</t>
        </is>
      </c>
      <c r="C14" s="106" t="inlineStr">
        <is>
          <t>축별 만점 3등분</t>
        </is>
      </c>
      <c r="D14" s="107" t="inlineStr">
        <is>
          <t>제7장</t>
        </is>
      </c>
      <c r="E14" s="106" t="inlineStr">
        <is>
          <t>PAPS·MLB 20-80을 3단계로</t>
        </is>
      </c>
    </row>
    <row r="15" ht="30" customHeight="1">
      <c r="B15" s="106" t="inlineStr">
        <is>
          <t>종목 목표(1.15)</t>
        </is>
      </c>
      <c r="C15" s="106" t="inlineStr">
        <is>
          <t>선수 사다리 보정</t>
        </is>
      </c>
      <c r="D15" s="107" t="inlineStr">
        <is>
          <t>제7장</t>
        </is>
      </c>
      <c r="E15" s="106" t="inlineStr">
        <is>
          <t>KBO·MLB 실측 목표. 종목 특성 슬라이딩(표시만)</t>
        </is>
      </c>
    </row>
    <row r="16" ht="30" customHeight="1">
      <c r="B16" s="106" t="inlineStr">
        <is>
          <t>27패턴 분포</t>
        </is>
      </c>
      <c r="C16" s="106" t="inlineStr">
        <is>
          <t>출현율 가우시안</t>
        </is>
      </c>
      <c r="D16" s="107" t="inlineStr">
        <is>
          <t>5.근거시234</t>
        </is>
      </c>
      <c r="E16" s="106" t="inlineStr">
        <is>
          <t>2-2-2가 30.5% 최다. 정규분포 역산</t>
        </is>
      </c>
    </row>
    <row r="18">
      <c r="B18" s="81" t="inlineStr">
        <is>
          <t>■ B. 근거 사슬</t>
        </is>
      </c>
    </row>
    <row r="19" ht="40" customHeight="1">
      <c r="B19" s="92" t="inlineStr">
        <is>
          <t>엔진(상담) → 백서(근거) → 각주 [리스트:태그] → 참고리스트(원문대장) → 논문 원문. 백서 각주 끝 태그를 리스트 분류에서 찾으면 원문 연결.</t>
        </is>
      </c>
    </row>
  </sheetData>
  <mergeCells count="2">
    <mergeCell ref="B3:E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18" customWidth="1" min="4" max="4"/>
    <col width="17" customWidth="1" min="5" max="5"/>
    <col width="45" customWidth="1" min="6" max="6"/>
  </cols>
  <sheetData>
    <row r="1" ht="30" customHeight="1">
      <c r="A1" s="1" t="inlineStr">
        <is>
          <t>BioCode 333 엔진 분석축별 등급 기준</t>
        </is>
      </c>
    </row>
    <row r="2" ht="25" customHeight="1">
      <c r="A2" s="12" t="inlineStr">
        <is>
          <t>분석 축 (Pillar)</t>
        </is>
      </c>
      <c r="B2" s="12" t="inlineStr">
        <is>
          <t>최대 만점</t>
        </is>
      </c>
      <c r="C2" s="12" t="inlineStr">
        <is>
          <t>1단계 (Low)</t>
        </is>
      </c>
      <c r="D2" s="12" t="inlineStr">
        <is>
          <t>2단계 (Medium)</t>
        </is>
      </c>
      <c r="E2" s="12" t="inlineStr">
        <is>
          <t>3단계 (High)</t>
        </is>
      </c>
      <c r="F2" s="12" t="inlineStr">
        <is>
          <t>등급 분류 설명</t>
        </is>
      </c>
    </row>
    <row r="3" ht="24" customHeight="1">
      <c r="A3" s="13" t="inlineStr">
        <is>
          <t>Body Code (성장잠재력)</t>
        </is>
      </c>
      <c r="B3" s="6" t="n">
        <v>40</v>
      </c>
      <c r="C3" s="14" t="inlineStr">
        <is>
          <t>0.00 ~ 14.00</t>
        </is>
      </c>
      <c r="D3" s="15" t="inlineStr">
        <is>
          <t>14.01 ~ 28.00</t>
        </is>
      </c>
      <c r="E3" s="16" t="inlineStr">
        <is>
          <t>28.01 ~ 40.00</t>
        </is>
      </c>
      <c r="F3" s="4" t="inlineStr">
        <is>
          <t>선천적/골격 잠재력 및 현재 성장 지표 평가</t>
        </is>
      </c>
    </row>
    <row r="4" ht="24" customHeight="1">
      <c r="A4" s="13" t="inlineStr">
        <is>
          <t>Metabolism Code (대사)</t>
        </is>
      </c>
      <c r="B4" s="6" t="n">
        <v>35</v>
      </c>
      <c r="C4" s="14" t="inlineStr">
        <is>
          <t>0.00 ~ 11.00</t>
        </is>
      </c>
      <c r="D4" s="15" t="inlineStr">
        <is>
          <t>11.01 ~ 24.00</t>
        </is>
      </c>
      <c r="E4" s="16" t="inlineStr">
        <is>
          <t>24.01 ~ 35.00</t>
        </is>
      </c>
      <c r="F4" s="4" t="inlineStr">
        <is>
          <t>영양 흡수 및 에너지 성장 전환 효율 평가</t>
        </is>
      </c>
    </row>
    <row r="5" ht="24" customHeight="1">
      <c r="A5" s="13" t="inlineStr">
        <is>
          <t>Behavior Code (생활)</t>
        </is>
      </c>
      <c r="B5" s="6" t="n">
        <v>25</v>
      </c>
      <c r="C5" s="14" t="inlineStr">
        <is>
          <t>0.00 ~ 8.00</t>
        </is>
      </c>
      <c r="D5" s="15" t="inlineStr">
        <is>
          <t>8.01 ~ 17.00</t>
        </is>
      </c>
      <c r="E5" s="16" t="inlineStr">
        <is>
          <t>17.01 ~ 25.00</t>
        </is>
      </c>
      <c r="F5" s="4" t="inlineStr">
        <is>
          <t>수면, 식습관, 운동 등 후천적 노력 지표 평가</t>
        </is>
      </c>
    </row>
    <row r="7" ht="24" customHeight="1">
      <c r="A7" s="57" t="inlineStr">
        <is>
          <t>[세부 연동] 타고난 기질 축(40% 만점) 내부 구성 점수 기준표</t>
        </is>
      </c>
    </row>
    <row r="8" ht="22" customHeight="1">
      <c r="A8" s="70" t="inlineStr">
        <is>
          <t>기질 평가 항목</t>
        </is>
      </c>
      <c r="B8" s="70" t="inlineStr">
        <is>
          <t>배점 만점</t>
        </is>
      </c>
      <c r="C8" s="70" t="inlineStr">
        <is>
          <t>1단계 (부진/약)</t>
        </is>
      </c>
      <c r="D8" s="70" t="inlineStr">
        <is>
          <t>2단계 (보통)</t>
        </is>
      </c>
      <c r="E8" s="70" t="inlineStr">
        <is>
          <t>3단계 (우수/강)</t>
        </is>
      </c>
      <c r="F8" s="70" t="inlineStr">
        <is>
          <t>성리학 및 동양의학 판정 메커니즘</t>
        </is>
      </c>
    </row>
    <row r="9" ht="22" customHeight="1">
      <c r="A9" s="71" t="inlineStr">
        <is>
          <t>유전키 (MPH 잠재력)</t>
        </is>
      </c>
      <c r="B9" s="72" t="inlineStr">
        <is>
          <t>12.0 점</t>
        </is>
      </c>
      <c r="C9" s="72" t="inlineStr">
        <is>
          <t>0.0 ~ 4.0점 (하위 30%)</t>
        </is>
      </c>
      <c r="D9" s="72" t="inlineStr">
        <is>
          <t>4.1 ~ 8.0점 (평균 수준)</t>
        </is>
      </c>
      <c r="E9" s="72" t="inlineStr">
        <is>
          <t>8.1 ~ 12.0점 (상위 10%선)</t>
        </is>
      </c>
      <c r="F9" s="73" t="inlineStr">
        <is>
          <t>중간부모키(MPH) 공식 적용
- 아들: (부 + 모 + 13) ÷ 2
- 딸: (부 + 모 - 13) ÷ 2
*백서 제1장 근거: 부모 연령에 따른 신장 감소 보정(+2.7cm) 및 회귀 계수 반영 예측 자동화[cite: 1]</t>
        </is>
      </c>
    </row>
    <row r="10" ht="22" customHeight="1">
      <c r="A10" s="71" t="inlineStr">
        <is>
          <t>음양오행 (만세력 스코어)</t>
        </is>
      </c>
      <c r="B10" s="72" t="inlineStr">
        <is>
          <t>10.0 점</t>
        </is>
      </c>
      <c r="C10" s="72" t="inlineStr">
        <is>
          <t>0.0 ~ 3.0점 (특정 오행 결핍)</t>
        </is>
      </c>
      <c r="D10" s="72" t="inlineStr">
        <is>
          <t>3.1 ~ 7.0점 (오행 무난)</t>
        </is>
      </c>
      <c r="E10" s="72" t="inlineStr">
        <is>
          <t>7.1 ~ 10.0점 (오행 완전 조화)</t>
        </is>
      </c>
      <c r="F10" s="73" t="inlineStr">
        <is>
          <t>생년월일시 사주 원국의 [목화토금수] 균형도 계수화</t>
        </is>
      </c>
    </row>
    <row r="11" ht="22" customHeight="1">
      <c r="A11" s="71" t="inlineStr">
        <is>
          <t>사상의학 체질 상수</t>
        </is>
      </c>
      <c r="B11" s="72" t="inlineStr">
        <is>
          <t>10.0 점</t>
        </is>
      </c>
      <c r="C11" s="72" t="inlineStr">
        <is>
          <t>0.0 ~ 3.0점 (소음인 예민 위장)</t>
        </is>
      </c>
      <c r="D11" s="72" t="inlineStr">
        <is>
          <t>3.1 ~ 7.0점 (소양인 과연소)</t>
        </is>
      </c>
      <c r="E11" s="72" t="inlineStr">
        <is>
          <t>7.1 ~ 10.0점 (태음인 고흡수)</t>
        </is>
      </c>
      <c r="F11" s="73" t="inlineStr">
        <is>
          <t>이제마 동의수세보원 기반 장부 대사 흡수력 매핑[cite: 1]</t>
        </is>
      </c>
    </row>
    <row r="12" ht="22" customHeight="1">
      <c r="A12" s="71" t="inlineStr">
        <is>
          <t>성리학 심·성·정 멘탈 변수</t>
        </is>
      </c>
      <c r="B12" s="72" t="inlineStr">
        <is>
          <t>8.0 점</t>
        </is>
      </c>
      <c r="C12" s="72" t="inlineStr">
        <is>
          <t>0.0 ~ 2.5점 (情 과다 / 극도 예민)</t>
        </is>
      </c>
      <c r="D12" s="72" t="inlineStr">
        <is>
          <t>2.6 ~ 5.5점 (心 주재 / 보통 기질)</t>
        </is>
      </c>
      <c r="E12" s="72" t="inlineStr">
        <is>
          <t>5.6 ~ 8.0점 (性 본연 / 강철 멘탈)</t>
        </is>
      </c>
      <c r="F12" s="73" t="inlineStr">
        <is>
          <t>사단칠정론 기반 선천적 기질 성향과 정서 스트레스 조절력[cite: 1]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7" customWidth="1" min="3" max="3"/>
    <col width="21" customWidth="1" min="4" max="4"/>
    <col width="19" customWidth="1" min="5" max="5"/>
    <col width="18" customWidth="1" min="6" max="6"/>
    <col width="30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BioCode 333 엔진 27가지 패턴 조합 및 통계적 분포 비율</t>
        </is>
      </c>
    </row>
    <row r="2" ht="25" customHeight="1">
      <c r="A2" s="12" t="inlineStr">
        <is>
          <t>No</t>
        </is>
      </c>
      <c r="B2" s="12" t="inlineStr">
        <is>
          <t>바이오코드</t>
        </is>
      </c>
      <c r="C2" s="12" t="inlineStr">
        <is>
          <t>Body (잠재력)</t>
        </is>
      </c>
      <c r="D2" s="12" t="inlineStr">
        <is>
          <t>Metabolism (대사)</t>
        </is>
      </c>
      <c r="E2" s="12" t="inlineStr">
        <is>
          <t>Behavior (생활)</t>
        </is>
      </c>
      <c r="F2" s="12" t="inlineStr">
        <is>
          <t>예상 분포 비율</t>
        </is>
      </c>
      <c r="G2" s="12" t="inlineStr">
        <is>
          <t>패턴 성향 정의</t>
        </is>
      </c>
      <c r="H2" s="108" t="inlineStr">
        <is>
          <t>현재 상태</t>
        </is>
      </c>
      <c r="I2" s="108" t="inlineStr">
        <is>
          <t>핵심 취약점</t>
        </is>
      </c>
      <c r="J2" s="108" t="inlineStr">
        <is>
          <t>솔루션 처방</t>
        </is>
      </c>
    </row>
    <row r="3" ht="20" customHeight="1">
      <c r="A3" s="17" t="n">
        <v>1</v>
      </c>
      <c r="B3" s="17" t="inlineStr">
        <is>
          <t>3-3-3</t>
        </is>
      </c>
      <c r="C3" s="17" t="inlineStr">
        <is>
          <t>3단계 (High)</t>
        </is>
      </c>
      <c r="D3" s="17" t="inlineStr">
        <is>
          <t>3단계 (High)</t>
        </is>
      </c>
      <c r="E3" s="17" t="inlineStr">
        <is>
          <t>3단계 (High)</t>
        </is>
      </c>
      <c r="F3" s="18" t="n">
        <v>0.015</v>
      </c>
      <c r="G3" s="4" t="inlineStr">
        <is>
          <t>성장판 프리패스상</t>
        </is>
      </c>
      <c r="H3" s="109" t="inlineStr">
        <is>
          <t>선천적 골격(3), 대사 효율(3), 생활 노력(3)이 모두 결합된 상위 0.5% 극소수 우량 유망주 클래스. 완벽한 삼박자 밸런스.</t>
        </is>
      </c>
      <c r="I3" s="109" t="inlineStr">
        <is>
          <t>취약점이 거의 없으나, 과도한 시합/훈련 소모로 인한 오버트레이닝 부상(성장판 건염) 방지를 위해 정기적인 인바디 모니터링 필수.</t>
        </is>
      </c>
      <c r="J3" s="109" t="inlineStr">
        <is>
          <t>체격 조건에 맞는 고강도 저항성 저부하 근력 훈련(12-15회 반복), 백서 기반 밤 10시 이전 서파 수면 진입(성장호르몬 4.5배 유도), 고단백식 분할 섭취.</t>
        </is>
      </c>
    </row>
    <row r="4" ht="20" customHeight="1">
      <c r="A4" s="17" t="n">
        <v>2</v>
      </c>
      <c r="B4" s="17" t="inlineStr">
        <is>
          <t>3-3-2</t>
        </is>
      </c>
      <c r="C4" s="17" t="inlineStr">
        <is>
          <t>3단계 (High)</t>
        </is>
      </c>
      <c r="D4" s="17" t="inlineStr">
        <is>
          <t>3단계 (High)</t>
        </is>
      </c>
      <c r="E4" s="17" t="inlineStr">
        <is>
          <t>2단계 (Med)</t>
        </is>
      </c>
      <c r="F4" s="18" t="n">
        <v>0.035</v>
      </c>
      <c r="G4" s="4" t="inlineStr">
        <is>
          <t>성장가능 가치주</t>
        </is>
      </c>
      <c r="H4" s="109" t="inlineStr">
        <is>
          <t>타고난 프레임과 장골 성장 잠재력이 최상위권이며, 소화 기능도 매우 우수하나 후천적 수면/행동 루틴이 2% 아쉬운 상태.</t>
        </is>
      </c>
      <c r="I4" s="109" t="inlineStr">
        <is>
          <t>늦게 자거나 수면 전 스마트폰 사용으로 인한 블루라이트 노출 차단 필요. 훈련 후 영양 보충 타이밍의 미세한 균형 복원.</t>
        </is>
      </c>
      <c r="J4" s="109" t="inlineStr">
        <is>
          <t>운동 종료 후 30분 이내 '영양 골든타임' 사수(단백질+바나나 즉시 섭취), 주말/평일 기상 리듬 일치화, 성장판 자극 점프 루틴 추가.</t>
        </is>
      </c>
    </row>
    <row r="5" ht="20" customHeight="1">
      <c r="A5" s="17" t="n">
        <v>3</v>
      </c>
      <c r="B5" s="17" t="inlineStr">
        <is>
          <t>3-3-1</t>
        </is>
      </c>
      <c r="C5" s="17" t="inlineStr">
        <is>
          <t>3단계 (High)</t>
        </is>
      </c>
      <c r="D5" s="17" t="inlineStr">
        <is>
          <t>3단계 (High)</t>
        </is>
      </c>
      <c r="E5" s="17" t="inlineStr">
        <is>
          <t>1단계 (Low)</t>
        </is>
      </c>
      <c r="F5" s="18" t="n">
        <v>0.01</v>
      </c>
      <c r="G5" s="4" t="inlineStr">
        <is>
          <t>불타오른 야생마</t>
        </is>
      </c>
      <c r="H5" s="109" t="inlineStr">
        <is>
          <t>유전과 프레임은 장군감이며 소화력도 폭풍 흡수 수준이나, 최악의 불규칙한 생활 리듬(Behavior 1)으로 성장을 갉아먹는 상태.</t>
        </is>
      </c>
      <c r="I5" s="109" t="inlineStr">
        <is>
          <t>만성 수면 부족(8시간 미만) 및 야식 섭취로 수면 중 성장호르몬 분비 경로 방해. 생체 리듬의 전면적인 구조조정 시급.</t>
        </is>
      </c>
      <c r="J5" s="109" t="inlineStr">
        <is>
          <t>밤 10시 무조건 소등 및 취침, 자기 전 2시간 전 무조건 금식 규칙 확립, 스마트폰 사용 억제, 규칙적인 코어 정적 스트레칭 15분.</t>
        </is>
      </c>
    </row>
    <row r="6" ht="20" customHeight="1">
      <c r="A6" s="17" t="n">
        <v>4</v>
      </c>
      <c r="B6" s="17" t="inlineStr">
        <is>
          <t>3-2-3</t>
        </is>
      </c>
      <c r="C6" s="17" t="inlineStr">
        <is>
          <t>3단계 (High)</t>
        </is>
      </c>
      <c r="D6" s="17" t="inlineStr">
        <is>
          <t>2단계 (Med)</t>
        </is>
      </c>
      <c r="E6" s="17" t="inlineStr">
        <is>
          <t>3단계 (High)</t>
        </is>
      </c>
      <c r="F6" s="18" t="n">
        <v>0.035</v>
      </c>
      <c r="G6" s="4" t="inlineStr">
        <is>
          <t>직진형 에너자이저</t>
        </is>
      </c>
      <c r="H6" s="109" t="inlineStr">
        <is>
          <t>단단한 선천 골격과 칼 같은 바른 생활 리듬을 가졌으나, 정서적 완벽주의나 시합 긴장으로 대사 흡수력(Metabolism 2)이 보통인 상태.</t>
        </is>
      </c>
      <c r="I6" s="109" t="inlineStr">
        <is>
          <t>경기 및 학업 스트레스 시 코르티솔 분비 상승으로 영양소의 온전한 성장에너지 전환이 일부 저해됨. 심리 이완 필요.</t>
        </is>
      </c>
      <c r="J6" s="109" t="inlineStr">
        <is>
          <t>경기/훈련 전 따뜻한 온수 공급으로 위장관 평활근 이완, 마인드풀니스 및 정서적 유대감 확보(부모의 질책 엄금), 고단백 식단 분할.</t>
        </is>
      </c>
    </row>
    <row r="7" ht="20" customHeight="1">
      <c r="A7" s="17" t="n">
        <v>5</v>
      </c>
      <c r="B7" s="17" t="inlineStr">
        <is>
          <t>3-2-2</t>
        </is>
      </c>
      <c r="C7" s="17" t="inlineStr">
        <is>
          <t>3단계 (High)</t>
        </is>
      </c>
      <c r="D7" s="17" t="inlineStr">
        <is>
          <t>2단계 (Med)</t>
        </is>
      </c>
      <c r="E7" s="17" t="inlineStr">
        <is>
          <t>2단계 (Med)</t>
        </is>
      </c>
      <c r="F7" s="18" t="n">
        <v>0.1</v>
      </c>
      <c r="G7" s="4" t="inlineStr">
        <is>
          <t>성장계의 엄친아</t>
        </is>
      </c>
      <c r="H7" s="109" t="inlineStr">
        <is>
          <t>선천 프레임이 뛰어나고 대사와 생활이 큰 기복 없이 대한민국 엘리트 아동의 가장 표준적인 상위 밸런스를 유지하는 상태.</t>
        </is>
      </c>
      <c r="I7" s="109" t="inlineStr">
        <is>
          <t>현재 스펙에 안주할 경우 일반 평균보다는 크나 프로/대학 진입선(상위 10%)의 압도적인 피지컬 사다리 돌파에는 2% 부족할 수 있음.</t>
        </is>
      </c>
      <c r="J7" s="109" t="inlineStr">
        <is>
          <t>목표치 상향 설정(KBO 투수 평균 184cm 타깃 보정), 플라이오메트릭 점프 훈련 매일 300회 추가, 비타민 D 단일 보충(400-1000IU).</t>
        </is>
      </c>
    </row>
    <row r="8" ht="20" customHeight="1">
      <c r="A8" s="17" t="n">
        <v>6</v>
      </c>
      <c r="B8" s="17" t="inlineStr">
        <is>
          <t>3-2-1</t>
        </is>
      </c>
      <c r="C8" s="17" t="inlineStr">
        <is>
          <t>3단계 (High)</t>
        </is>
      </c>
      <c r="D8" s="17" t="inlineStr">
        <is>
          <t>2단계 (Med)</t>
        </is>
      </c>
      <c r="E8" s="17" t="inlineStr">
        <is>
          <t>1단계 (Low)</t>
        </is>
      </c>
      <c r="F8" s="18" t="n">
        <v>0.015</v>
      </c>
      <c r="G8" s="4" t="inlineStr">
        <is>
          <t>이중생활 천재선수</t>
        </is>
      </c>
      <c r="H8" s="109" t="inlineStr">
        <is>
          <t>타고난 신체 프레임은 압도적이나 대사가 보통이고 생활 루틴(1)이 무너져, 야간 수면 중 분비되어야 할 성장 에너지가 고갈된 상태.</t>
        </is>
      </c>
      <c r="I8" s="109" t="inlineStr">
        <is>
          <t>새벽 취침 및 스마트폰 중독으로 서파 수면(3·4단계) 비율 급감. 낮 시간 운동 과부하 대비 회복 능력이 턱없이 부족함.</t>
        </is>
      </c>
      <c r="J8" s="109" t="inlineStr">
        <is>
          <t>11시 이전 강제 취침 루틴, 취침 전 블루라이트 완벽 차단, 운동 후 즉시 탄수화물+전해질 보충, 아침 식사 필수화.</t>
        </is>
      </c>
    </row>
    <row r="9" ht="20" customHeight="1">
      <c r="A9" s="17" t="n">
        <v>7</v>
      </c>
      <c r="B9" s="17" t="inlineStr">
        <is>
          <t>3-1-3</t>
        </is>
      </c>
      <c r="C9" s="17" t="inlineStr">
        <is>
          <t>3단계 (High)</t>
        </is>
      </c>
      <c r="D9" s="17" t="inlineStr">
        <is>
          <t>1단계 (Low)</t>
        </is>
      </c>
      <c r="E9" s="17" t="inlineStr">
        <is>
          <t>3단계 (High)</t>
        </is>
      </c>
      <c r="F9" s="18" t="n">
        <v>0.01</v>
      </c>
      <c r="G9" s="4" t="inlineStr">
        <is>
          <t>예민보스 모범생</t>
        </is>
      </c>
      <c r="H9" s="109" t="inlineStr">
        <is>
          <t>유전 키와 골격은 국대급 거인 티켓을 받았으나, 소음인 특유의 극심한 위장관 예민성(Metabolism 1)으로 영양이 차단된 상태.</t>
        </is>
      </c>
      <c r="I9" s="109" t="inlineStr">
        <is>
          <t>조금만 스트레스를 받거나 차가운 음식을 먹으면 소화 효소 분비가 급감하며 위장관 파업. 먹어도 살과 키로 안 가는 전형적 패턴.</t>
        </is>
      </c>
      <c r="J9" s="109" t="inlineStr">
        <is>
          <t>찬 음료/빙과류/탄산 원천 금지, 장내 유익균 복원을 위한 유산균 필수 투여, 복부 따뜻한 찜질(38-40도) 매일 10분. 소화 용이 식단.</t>
        </is>
      </c>
    </row>
    <row r="10" ht="20" customHeight="1">
      <c r="A10" s="17" t="n">
        <v>8</v>
      </c>
      <c r="B10" s="17" t="inlineStr">
        <is>
          <t>3-1-2</t>
        </is>
      </c>
      <c r="C10" s="17" t="inlineStr">
        <is>
          <t>3단계 (High)</t>
        </is>
      </c>
      <c r="D10" s="17" t="inlineStr">
        <is>
          <t>1단계 (Low)</t>
        </is>
      </c>
      <c r="E10" s="17" t="inlineStr">
        <is>
          <t>2단계 (Med)</t>
        </is>
      </c>
      <c r="F10" s="18" t="n">
        <v>0.015</v>
      </c>
      <c r="G10" s="4" t="inlineStr">
        <is>
          <t>멘탈소심 거인</t>
        </is>
      </c>
      <c r="H10" s="109" t="inlineStr">
        <is>
          <t>겉보기엔 덩치가 크고 든든한 뼈대를 가졌으나, 소심한 성향과 유리 멘탈로 가스가 차고 잦은 복통을 겪으며 생활은 보통인 상태</t>
        </is>
      </c>
      <c r="I10" s="109" t="inlineStr">
        <is>
          <t>정서적 압박감이 코르티솔 호르몬을 자극해 무릎/척추 성장판의 세포 분열을 직접 억제함. 부모의 과도한 잔소리가 독이 됨.</t>
        </is>
      </c>
      <c r="J10" s="109" t="inlineStr">
        <is>
          <t>성적/결과 중심의 질책을 칭찬과 정서적 지지로 전면 전환, 식사 중 즐거운 분위기 조성, 긴장성 배탈 완화를 위한 온열 요법.</t>
        </is>
      </c>
    </row>
    <row r="11" ht="20" customHeight="1">
      <c r="A11" s="17" t="n">
        <v>9</v>
      </c>
      <c r="B11" s="17" t="inlineStr">
        <is>
          <t>3-1-1</t>
        </is>
      </c>
      <c r="C11" s="17" t="inlineStr">
        <is>
          <t>3단계 (High)</t>
        </is>
      </c>
      <c r="D11" s="17" t="inlineStr">
        <is>
          <t>1단계 (Low)</t>
        </is>
      </c>
      <c r="E11" s="17" t="inlineStr">
        <is>
          <t>1단계 (Low)</t>
        </is>
      </c>
      <c r="F11" s="18" t="n">
        <v>0.005</v>
      </c>
      <c r="G11" s="4" t="inlineStr">
        <is>
          <t>파업선언 장군님</t>
        </is>
      </c>
      <c r="H11" s="109" t="inlineStr">
        <is>
          <t>타고난 장골 잠재력은 아까울 정도로 우수하나, 극도의 예민성(대사 1)과 무너진 생활(1)이 결합되어 거인 유전자가 잠들어버린 위기 상태.</t>
        </is>
      </c>
      <c r="I11" s="109" t="inlineStr">
        <is>
          <t>만성 소화불량, 영양 흡수 저하, 새벽 취침, 신체 활동 정체가 겹쳐 유전적 황금 티켓을 스스로 폐기 중인 상태. 즉시 개입 필요.</t>
        </is>
      </c>
      <c r="J11" s="109" t="inlineStr">
        <is>
          <t>병원 의학 진료 연계 검토(만성 위장 장애 확인), 매일 따뜻한 물 마시기, 자기 전 2시간 전 금식 및 스마트폰 수거. 숙면 유도.</t>
        </is>
      </c>
    </row>
    <row r="12" ht="20" customHeight="1">
      <c r="A12" s="17" t="n">
        <v>10</v>
      </c>
      <c r="B12" s="17" t="inlineStr">
        <is>
          <t>2-3-3</t>
        </is>
      </c>
      <c r="C12" s="17" t="inlineStr">
        <is>
          <t>2단계 (Med)</t>
        </is>
      </c>
      <c r="D12" s="17" t="inlineStr">
        <is>
          <t>3단계 (High)</t>
        </is>
      </c>
      <c r="E12" s="17" t="inlineStr">
        <is>
          <t>3단계 (High)</t>
        </is>
      </c>
      <c r="F12" s="18" t="n">
        <v>0.035</v>
      </c>
      <c r="G12" s="4" t="inlineStr">
        <is>
          <t>노력형 디젤엔진</t>
        </is>
      </c>
      <c r="H12" s="109" t="inlineStr">
        <is>
          <t>선천 프레임은 평균(2)이지만, 폭풍 소화 흡수력(3)과 완벽한 바른 생활(3)로 유전의 한계를 극복하고 상위권으로 치고 나가는 패턴.</t>
        </is>
      </c>
      <c r="I12" s="109" t="inlineStr">
        <is>
          <t>체성분상 골격근량과 골밀도가 매우 우수함. 단, 성숙도가 빠른 조숙형일 경우 성장판 닫히는 속도가 빠를 수 있으니 주의.</t>
        </is>
      </c>
      <c r="J12" s="109" t="inlineStr">
        <is>
          <t>백서 기준 체중 1kg당 단백질 1.4g 섭취 사수, 충분한 칼슘(우유 1-2잔, 달걀) 보충, 현재의 칼 같은 수면/운동 루틴 유지.</t>
        </is>
      </c>
    </row>
    <row r="13" ht="20" customHeight="1">
      <c r="A13" s="17" t="n">
        <v>11</v>
      </c>
      <c r="B13" s="17" t="inlineStr">
        <is>
          <t>2-3-2</t>
        </is>
      </c>
      <c r="C13" s="17" t="inlineStr">
        <is>
          <t>2단계 (Med)</t>
        </is>
      </c>
      <c r="D13" s="17" t="inlineStr">
        <is>
          <t>3단계 (High)</t>
        </is>
      </c>
      <c r="E13" s="17" t="inlineStr">
        <is>
          <t>2단계 (Med)</t>
        </is>
      </c>
      <c r="F13" s="18" t="n">
        <v>0.1</v>
      </c>
      <c r="G13" s="4" t="inlineStr">
        <is>
          <t>뷔페 환영 보일러</t>
        </is>
      </c>
      <c r="H13" s="109" t="inlineStr">
        <is>
          <t>표준 체형에 소화 흡수력(3)이 강력해 먹는 대로 영양분이 타오르나, 생활 루틴(2)의 규칙성이 다소 부족해 효율이 분산되는 상태.</t>
        </is>
      </c>
      <c r="I13" s="109" t="inlineStr">
        <is>
          <t>소화 장부 기능이 튼튼해 증량이 매우 용이함. 단, 영양이 성장이 아닌 지방 축적으로 가지 않도록 활동량 제어 필요.</t>
        </is>
      </c>
      <c r="J13" s="109" t="inlineStr">
        <is>
          <t>매일 정기적인 성장판 자극 운동(줄넘기/농구 수직 점프 300회), 훈련 직후 분할 단백질 섭취, 8시간 이상 규칙적 수면.</t>
        </is>
      </c>
    </row>
    <row r="14" ht="20" customHeight="1">
      <c r="A14" s="17" t="n">
        <v>12</v>
      </c>
      <c r="B14" s="17" t="inlineStr">
        <is>
          <t>2-3-1</t>
        </is>
      </c>
      <c r="C14" s="17" t="inlineStr">
        <is>
          <t>2단계 (Med)</t>
        </is>
      </c>
      <c r="D14" s="17" t="inlineStr">
        <is>
          <t>3단계 (High)</t>
        </is>
      </c>
      <c r="E14" s="17" t="inlineStr">
        <is>
          <t>1단계 (Low)</t>
        </is>
      </c>
      <c r="F14" s="18" t="n">
        <v>0.015</v>
      </c>
      <c r="G14" s="4" t="inlineStr">
        <is>
          <t>폭풍흡수 먹방러</t>
        </is>
      </c>
      <c r="H14" s="109" t="inlineStr">
        <is>
          <t>소화력은 보일러 급(3)인데 생활 리듬이 완전히 붕괴(1)되어, 야식 폭식 및 컴퓨터/스마트폰 밤샘으로 성장을 방해하는 상태.</t>
        </is>
      </c>
      <c r="I14" s="109" t="inlineStr">
        <is>
          <t>밤늦게 과식 후 취침 시 역류성 식도염 유발 및 인슐린 분비 과다로 야간 수면 중 성장호르몬 분비 경로가 원천 차단됨.</t>
        </is>
      </c>
      <c r="J14" s="109" t="inlineStr">
        <is>
          <t>야식/인스턴트 전면 차단, 자기 전 2시간 전 절대 금식 원칙 고수, 밤 10시 이후 컴퓨터/스마트폰 전원 전면 차단 처방.</t>
        </is>
      </c>
    </row>
    <row r="15" ht="20" customHeight="1">
      <c r="A15" s="17" t="n">
        <v>13</v>
      </c>
      <c r="B15" s="17" t="inlineStr">
        <is>
          <t>2-2-3</t>
        </is>
      </c>
      <c r="C15" s="17" t="inlineStr">
        <is>
          <t>2단계 (Med)</t>
        </is>
      </c>
      <c r="D15" s="17" t="inlineStr">
        <is>
          <t>2단계 (Med)</t>
        </is>
      </c>
      <c r="E15" s="17" t="inlineStr">
        <is>
          <t>3단계 (High)</t>
        </is>
      </c>
      <c r="F15" s="18" t="n">
        <v>0.1</v>
      </c>
      <c r="G15" s="4" t="inlineStr">
        <is>
          <t>바른생활 부반장</t>
        </is>
      </c>
      <c r="H15" s="109" t="inlineStr">
        <is>
          <t>평균 체형에 기복 없는 대사(2)와 군대 수준의 칼 같은 바른 생활 습관(3)으로 후천적 성장을 야무지게 견인 중인 모범 선수 패턴.</t>
        </is>
      </c>
      <c r="I15" s="109" t="inlineStr">
        <is>
          <t>체계적 노력이 훌륭함. 다만 대학/프로 진입(상위 10%) 스펙트럼 돌파를 위해서는 영양 밀도와 운동 자극 강도를 한 단계 업그레이드 해야 함.</t>
        </is>
      </c>
      <c r="J15" s="109" t="inlineStr">
        <is>
          <t>맨몸 점프 및 코어 훈련 강화, 취침 직후 성장호르몬 최대 분비를 위한 수면 환경 암막 커튼 설치, 비타민 D/칼슘 단일 보충.</t>
        </is>
      </c>
    </row>
    <row r="16" ht="20" customHeight="1">
      <c r="A16" s="19" t="n">
        <v>14</v>
      </c>
      <c r="B16" s="19" t="inlineStr">
        <is>
          <t>2-2-2</t>
        </is>
      </c>
      <c r="C16" s="19" t="inlineStr">
        <is>
          <t>2단계 (Med)</t>
        </is>
      </c>
      <c r="D16" s="19" t="inlineStr">
        <is>
          <t>2단계 (Med)</t>
        </is>
      </c>
      <c r="E16" s="19" t="inlineStr">
        <is>
          <t>2단계 (Med)</t>
        </is>
      </c>
      <c r="F16" s="20" t="n">
        <v>0.305</v>
      </c>
      <c r="G16" s="21" t="inlineStr">
        <is>
          <t>이세계의 무게중심</t>
        </is>
      </c>
      <c r="H16" s="109" t="inlineStr">
        <is>
          <t>대한민국 청소년의 가장 정직한 평균치 밸런스. 특별한 질병이나 나쁜 습관도 없지만, 엘리트 프로를 가기엔 모든 축이 평범한 상태.</t>
        </is>
      </c>
      <c r="I16" s="109" t="inlineStr">
        <is>
          <t>현재 스펙(중2 기준 165cm, 54kg)에 안주하면 프로 피지컬 사다리(KBO 투수 평균 184cm, 85kg) 돌파 불가능. 자극 요망.</t>
        </is>
      </c>
      <c r="J16" s="109" t="inlineStr">
        <is>
          <t>기존 야구 훈련 외 줄넘기/점프 운동 매일 300회 강제 추가, 단백질 보충제 및 양질의 식단 분할 섭취, 8시간 수면 엄수.</t>
        </is>
      </c>
    </row>
    <row r="17" ht="20" customHeight="1">
      <c r="A17" s="17" t="n">
        <v>15</v>
      </c>
      <c r="B17" s="17" t="inlineStr">
        <is>
          <t>2-2-1</t>
        </is>
      </c>
      <c r="C17" s="17" t="inlineStr">
        <is>
          <t>2단계 (Med)</t>
        </is>
      </c>
      <c r="D17" s="17" t="inlineStr">
        <is>
          <t>2단계 (Med)</t>
        </is>
      </c>
      <c r="E17" s="17" t="inlineStr">
        <is>
          <t>1단계 (Low)</t>
        </is>
      </c>
      <c r="F17" s="18" t="n">
        <v>0.03</v>
      </c>
      <c r="G17" s="4" t="inlineStr">
        <is>
          <t>여유만만 도련님</t>
        </is>
      </c>
      <c r="H17" s="109" t="inlineStr">
        <is>
          <t>체형และ 대사는 정상 범위나, 후천적 활동량과 수면 규칙성(1)이 바닥을 기어 뼈를 깨우는 물리적 자극이 턱없이 부족한 상태.</t>
        </is>
      </c>
      <c r="I17" s="109" t="inlineStr">
        <is>
          <t>울프의 법칙(Wolff's Law)에 따라 뼈는 역학적 부하를 받아야 자라나, 움직임이 없어 성장판 연골세포 분열 촉진이 정체됨.</t>
        </is>
      </c>
      <c r="J17" s="109" t="inlineStr">
        <is>
          <t>매일 기상 후/잠들기 전 기지개 스트레칭 15분, 하루 30분 수직축 자극 운동(점프/러닝), 운동 후 균형 잡힌 단백질 식단.</t>
        </is>
      </c>
    </row>
    <row r="18" ht="20" customHeight="1">
      <c r="A18" s="17" t="n">
        <v>16</v>
      </c>
      <c r="B18" s="17" t="inlineStr">
        <is>
          <t>2-1-3</t>
        </is>
      </c>
      <c r="C18" s="17" t="inlineStr">
        <is>
          <t>2단계 (Med)</t>
        </is>
      </c>
      <c r="D18" s="17" t="inlineStr">
        <is>
          <t>1단계 (Low)</t>
        </is>
      </c>
      <c r="E18" s="17" t="inlineStr">
        <is>
          <t>3단계 (High)</t>
        </is>
      </c>
      <c r="F18" s="18" t="n">
        <v>0.015</v>
      </c>
      <c r="G18" s="4" t="inlineStr">
        <is>
          <t>안절부절 바른생활</t>
        </is>
      </c>
      <c r="H18" s="109" t="inlineStr">
        <is>
          <t>평균 체격에 생활은 칼 같으나(3), 조금만 긴장해도 체하는 소심함과 위장관 예민성(1) 때문에 성장에너지가 차단된 눈물겨운 패턴.</t>
        </is>
      </c>
      <c r="I18" s="109" t="inlineStr">
        <is>
          <t>바르게 살려는 강박이 오히려 코르티솔 스트레스 호르몬을 높여 위장 기능을 떨어뜨림. 겉은 멀쩡하나 속이 골골한 상태.</t>
        </is>
      </c>
      <c r="J18" s="109" t="inlineStr">
        <is>
          <t>위장에 부담이 없는 부드러운 고단백 식단 구축, 취침 전 소화를 돕는 복부 따뜻한 찜질 15분, 현재의 모범 수면 루틴 유지.</t>
        </is>
      </c>
    </row>
    <row r="19" ht="20" customHeight="1">
      <c r="A19" s="17" t="n">
        <v>17</v>
      </c>
      <c r="B19" s="17" t="inlineStr">
        <is>
          <t>2-1-2</t>
        </is>
      </c>
      <c r="C19" s="17" t="inlineStr">
        <is>
          <t>2단계 (Med)</t>
        </is>
      </c>
      <c r="D19" s="17" t="inlineStr">
        <is>
          <t>1단계 (Low)</t>
        </is>
      </c>
      <c r="E19" s="17" t="inlineStr">
        <is>
          <t>2단계 (Med)</t>
        </is>
      </c>
      <c r="F19" s="18" t="n">
        <v>0.03</v>
      </c>
      <c r="G19" s="4" t="inlineStr">
        <is>
          <t>내일향한 숨고르기</t>
        </is>
      </c>
      <c r="H19" s="109" t="inlineStr">
        <is>
          <t>신체 조건은 준수하나 과도한 훈련과 시합 압박(1)으로 대사 엔진이 바짝 타버려 성장이 멈춰버린 선수반 전형적 정체 패턴.</t>
        </is>
      </c>
      <c r="I19" s="109" t="inlineStr">
        <is>
          <t>만성 스트레스 코르티솔 상승이 성장호르몬 분비를 직접 억제하고 정서사회적 소인증과 유사한 대사 다운 현상을 유발함.</t>
        </is>
      </c>
      <c r="J19" s="109" t="inlineStr">
        <is>
          <t>의도적인 일주일에 1-2일 '완전 휴식일' 지정, 수면 시간 8시간 30분 강제 확보, 취침 전 따뜻한 찜질(38-40도)로 혈류 개선.</t>
        </is>
      </c>
    </row>
    <row r="20" ht="20" customHeight="1">
      <c r="A20" s="17" t="n">
        <v>18</v>
      </c>
      <c r="B20" s="17" t="inlineStr">
        <is>
          <t>2-1-1</t>
        </is>
      </c>
      <c r="C20" s="17" t="inlineStr">
        <is>
          <t>2단계 (Med)</t>
        </is>
      </c>
      <c r="D20" s="17" t="inlineStr">
        <is>
          <t>1단계 (Low)</t>
        </is>
      </c>
      <c r="E20" s="17" t="inlineStr">
        <is>
          <t>1단계 (Low)</t>
        </is>
      </c>
      <c r="F20" s="18" t="n">
        <v>0.01</v>
      </c>
      <c r="G20" s="4" t="inlineStr">
        <is>
          <t>비상임박 유망주</t>
        </is>
      </c>
      <c r="H20" s="109" t="inlineStr">
        <is>
          <t>신체는 평균 수준이나, 예민한 성격(1)으로 밥은 안 먹으면서 늦게 자고 스마트폰만 붙잡고 있는(1) 잔소리 유발 패턴. 악순환 상태.</t>
        </is>
      </c>
      <c r="I20" s="109" t="inlineStr">
        <is>
          <t>스트레스가 소화력을 막고, 무너진 수면이 성장호르몬을 막아 서서히 하위권 성장 백분위로 추락하는 경고등이 켜진 상태.</t>
        </is>
      </c>
      <c r="J20" s="109" t="inlineStr">
        <is>
          <t>매일 가벼운 야외 신체 놀이를 통한 세로토닌 분비 유도, 유산균/비타민D 필수 보충, 밤 10시 강제 소등 및 깊은 잠.</t>
        </is>
      </c>
    </row>
    <row r="21" ht="20" customHeight="1">
      <c r="A21" s="17" t="n">
        <v>19</v>
      </c>
      <c r="B21" s="17" t="inlineStr">
        <is>
          <t>1-3-3</t>
        </is>
      </c>
      <c r="C21" s="17" t="inlineStr">
        <is>
          <t>1단계 (Low)</t>
        </is>
      </c>
      <c r="D21" s="17" t="inlineStr">
        <is>
          <t>3단계 (High)</t>
        </is>
      </c>
      <c r="E21" s="17" t="inlineStr">
        <is>
          <t>3단계 (High)</t>
        </is>
      </c>
      <c r="F21" s="18" t="n">
        <v>0.01</v>
      </c>
      <c r="G21" s="4" t="inlineStr">
        <is>
          <t>대기만성 반전매력</t>
        </is>
      </c>
      <c r="H21" s="109" t="inlineStr">
        <is>
          <t>현재 체구는 또래보다 왜소하지만(1), 소화 흡수율(3)이 스펀지 급이고 생활 노력(3)이 만렙인 유전 한계 극복형 반전 패턴.</t>
        </is>
      </c>
      <c r="I21" s="109" t="inlineStr">
        <is>
          <t>현재는 작아 보이나 체성분상 뼈와 근육이 야무지게 차 있음. 성숙도가 늦은 '만숙형'일 가능성이 매우 높아 미래 포텐셜 최상.</t>
        </is>
      </c>
      <c r="J21" s="109" t="inlineStr">
        <is>
          <t>백서 기준 체중 1kg당 단백질 1.4g 이상 철저히 사수, 뼈 성장을 지탱할 칼슘/비타민D 단일 보충, 점프 성장판 자극 운동 지속.</t>
        </is>
      </c>
    </row>
    <row r="22" ht="20" customHeight="1">
      <c r="A22" s="17" t="n">
        <v>20</v>
      </c>
      <c r="B22" s="17" t="inlineStr">
        <is>
          <t>1-3-2</t>
        </is>
      </c>
      <c r="C22" s="17" t="inlineStr">
        <is>
          <t>1단계 (Low)</t>
        </is>
      </c>
      <c r="D22" s="17" t="inlineStr">
        <is>
          <t>3단계 (High)</t>
        </is>
      </c>
      <c r="E22" s="17" t="inlineStr">
        <is>
          <t>2단계 (Med)</t>
        </is>
      </c>
      <c r="F22" s="18" t="n">
        <v>0.015</v>
      </c>
      <c r="G22" s="4" t="inlineStr">
        <is>
          <t>알짜배기 깡다구</t>
        </is>
      </c>
      <c r="H22" s="109" t="inlineStr">
        <is>
          <t>체구는 작지만(1) 영양분을 쪽쪽 흡수하는 효자 위장관(3)을 가졌으며, 생활 리듬(2)도 보통 수준으로 무난하게 추격 중인 상태.</t>
        </is>
      </c>
      <c r="I22" s="109" t="inlineStr">
        <is>
          <t>기름 탱크를 키울 소화력 엔진이 튼튼하므로 후천적 노력을 한 단계만 올리면 폭발적인 벌크업과 신장 반등이 충분히 가능한 상태.</t>
        </is>
      </c>
      <c r="J22" s="109" t="inlineStr">
        <is>
          <t>운동 종료 직후 30분 내 단백질+탄수화물 즉시 투여, 성장판 세포 분열 자극을 위한 수직 점프 훈련 매일 루틴화, 10시 취침.</t>
        </is>
      </c>
    </row>
    <row r="23" ht="20" customHeight="1">
      <c r="A23" s="17" t="n">
        <v>21</v>
      </c>
      <c r="B23" s="17" t="inlineStr">
        <is>
          <t>1-3-1</t>
        </is>
      </c>
      <c r="C23" s="17" t="inlineStr">
        <is>
          <t>1단계 (Low)</t>
        </is>
      </c>
      <c r="D23" s="17" t="inlineStr">
        <is>
          <t>3단계 (High)</t>
        </is>
      </c>
      <c r="E23" s="17" t="inlineStr">
        <is>
          <t>1단계 (Low)</t>
        </is>
      </c>
      <c r="F23" s="18" t="n">
        <v>0.005</v>
      </c>
      <c r="G23" s="4" t="inlineStr">
        <is>
          <t>엔진빵빵 클래식카</t>
        </is>
      </c>
      <c r="H23" s="109" t="inlineStr">
        <is>
          <t>위장 소화력(3)이라는 최고의 엔진을 가졌음에도, 최악의 밤샘/불규칙한 생활(1)로 인해 왜소한 체구(1)를 탈출하지 못하는 상태.</t>
        </is>
      </c>
      <c r="I23" s="109" t="inlineStr">
        <is>
          <t>폭식 후 새벽에 자는 나쁜 습관이 성장에너지를 키가 아닌 지방으로 축적시키며 성장판 세포 깨우기를 거부하는 상태.</t>
        </is>
      </c>
      <c r="J23" s="109" t="inlineStr">
        <is>
          <t>오전 일찍 지면반발력 자극 운동(러닝/점프), 정량 식사 및 운동 후 단백질 섭취, 밤 10시 전 깊은 잠 무조건 강제 고정.</t>
        </is>
      </c>
    </row>
    <row r="24" ht="20" customHeight="1">
      <c r="A24" s="17" t="n">
        <v>22</v>
      </c>
      <c r="B24" s="17" t="inlineStr">
        <is>
          <t>1-2-3</t>
        </is>
      </c>
      <c r="C24" s="17" t="inlineStr">
        <is>
          <t>1단계 (Low)</t>
        </is>
      </c>
      <c r="D24" s="17" t="inlineStr">
        <is>
          <t>2단계 (Med)</t>
        </is>
      </c>
      <c r="E24" s="17" t="inlineStr">
        <is>
          <t>3단계 (High)</t>
        </is>
      </c>
      <c r="F24" s="18" t="n">
        <v>0.015</v>
      </c>
      <c r="G24" s="4" t="inlineStr">
        <is>
          <t>의지만렙 작은거인</t>
        </is>
      </c>
      <c r="H24" s="109" t="inlineStr">
        <is>
          <t>골격 타고남(1)과 대사(2)는 약하지만, 최고 수준의 바른 생활과 훈련 루틴(3)으로 왜소함을 이겨내려고 악바리처럼 버티는 상태.</t>
        </is>
      </c>
      <c r="I24" s="109" t="inlineStr">
        <is>
          <t>아이의 의지가 매우 강해 칭찬이 필요함. 단, 프레임이 작은 상태에서 과도한 기술 훈련은 성장판 부상 위험을 높임.</t>
        </is>
      </c>
      <c r="J24" s="109" t="inlineStr">
        <is>
          <t>식사 끼니별 소고기/닭고기 등 질 좋은 단백질 비중 강제 상향, 운동 후 스트레칭 20분 생활화, 밤 10시 전 깊은 잠 사수.</t>
        </is>
      </c>
    </row>
    <row r="25" ht="20" customHeight="1">
      <c r="A25" s="17" t="n">
        <v>23</v>
      </c>
      <c r="B25" s="17" t="inlineStr">
        <is>
          <t>1-2-2</t>
        </is>
      </c>
      <c r="C25" s="17" t="inlineStr">
        <is>
          <t>1단계 (Low)</t>
        </is>
      </c>
      <c r="D25" s="17" t="inlineStr">
        <is>
          <t>2단계 (Med)</t>
        </is>
      </c>
      <c r="E25" s="17" t="inlineStr">
        <is>
          <t>2단계 (Med)</t>
        </is>
      </c>
      <c r="F25" s="18" t="n">
        <v>0.035</v>
      </c>
      <c r="G25" s="4" t="inlineStr">
        <is>
          <t>작은고추 매운맛</t>
        </is>
      </c>
      <c r="H25" s="109" t="inlineStr">
        <is>
          <t>훈련량과 의지는 완벽하나, 프레임(Body 1)이 작고 예민한 성향으로 성장에너지가 운동장(야구)에서 전량 연소 중인 선수반 다수 상태.</t>
        </is>
      </c>
      <c r="I25" s="109" t="inlineStr">
        <is>
          <t>일반 학생 기준으론 평균 주변이나 프로 피지컬 사다리(184cm, 85kg) 기준으론 기름 탱크가 너무 작은 심각한 벌크업 미달 상태.</t>
        </is>
      </c>
      <c r="J25" s="109" t="inlineStr">
        <is>
          <t>체중 5kg 즉시 증량 미션 부여(목표 53kg), 운동 종료 후 30분 이내 영양 골든타임 사수(단백질+바나나 투여), 수면 8시간 확보.</t>
        </is>
      </c>
    </row>
    <row r="26" ht="20" customHeight="1">
      <c r="A26" s="17" t="n">
        <v>24</v>
      </c>
      <c r="B26" s="17" t="inlineStr">
        <is>
          <t>1-2-1</t>
        </is>
      </c>
      <c r="C26" s="17" t="inlineStr">
        <is>
          <t>1단계 (Low)</t>
        </is>
      </c>
      <c r="D26" s="17" t="inlineStr">
        <is>
          <t>2단계 (Med)</t>
        </is>
      </c>
      <c r="E26" s="17" t="inlineStr">
        <is>
          <t>1단계 (Low)</t>
        </is>
      </c>
      <c r="F26" s="18" t="n">
        <v>0.015</v>
      </c>
      <c r="G26" s="4" t="inlineStr">
        <is>
          <t>출동준비 비행기</t>
        </is>
      </c>
      <c r="H26" s="109" t="inlineStr">
        <is>
          <t>체격은 하위권(1)인데 생활 리듬마저 붕괴(1)되어, 기초 체력이 바닥나고 성장의 동력이 완전히 꺼져가는 난기류 상태.</t>
        </is>
      </c>
      <c r="I26" s="109" t="inlineStr">
        <is>
          <t>낮에는 무기력하고 밤에는 스마트폰에 빠지는 악순환으로 성장호르몬 분비가 만성적으로 저하되어 왜소증 고착화 위험 단계.</t>
        </is>
      </c>
      <c r="J26" s="109" t="inlineStr">
        <is>
          <t>기상 직후 바른 자세 코어 걷기, 아침 식사 필수, 끼니당 단백질/칼슘 집중 배치, 수면 시간 8시간 30분 강제 엄수.</t>
        </is>
      </c>
    </row>
    <row r="27" ht="20" customHeight="1">
      <c r="A27" s="17" t="n">
        <v>25</v>
      </c>
      <c r="B27" s="17" t="inlineStr">
        <is>
          <t>1-1-3</t>
        </is>
      </c>
      <c r="C27" s="17" t="inlineStr">
        <is>
          <t>1단계 (Low)</t>
        </is>
      </c>
      <c r="D27" s="17" t="inlineStr">
        <is>
          <t>1단계 (Low)</t>
        </is>
      </c>
      <c r="E27" s="17" t="inlineStr">
        <is>
          <t>3단계 (High)</t>
        </is>
      </c>
      <c r="F27" s="18" t="n">
        <v>0.005</v>
      </c>
      <c r="G27" s="4" t="inlineStr">
        <is>
          <t>상큼발랄 팅커벨</t>
        </is>
      </c>
      <c r="H27" s="109" t="inlineStr">
        <is>
          <t>허약 체질(1)과 극도의 예민성(1)으로 밥은 거의 못 먹으면서도, 바른 생활 습관(3)과 강한 성장 의지로 눈물겹게 버티는 상태.</t>
        </is>
      </c>
      <c r="I27" s="109" t="inlineStr">
        <is>
          <t>속이 늘 시끄럽고 장 기능이 약해 흡수를 못 함. 생활은 완벽하므로 위장의 영양 흡수 길만 뚫어주면 폭발적 반등 가능.</t>
        </is>
      </c>
      <c r="J27" s="109" t="inlineStr">
        <is>
          <t>위장에 부담이 없는 부드러운 분할 고단백 식단 구축, 취침 전 소화를 돕는 복부 따뜻한 찜질 15분, 현재의 모범 수면 루틴 유지.</t>
        </is>
      </c>
    </row>
    <row r="28" ht="20" customHeight="1">
      <c r="A28" s="17" t="n">
        <v>26</v>
      </c>
      <c r="B28" s="17" t="inlineStr">
        <is>
          <t>1-1-2</t>
        </is>
      </c>
      <c r="C28" s="17" t="inlineStr">
        <is>
          <t>1단계 (Low)</t>
        </is>
      </c>
      <c r="D28" s="17" t="inlineStr">
        <is>
          <t>1단계 (Low)</t>
        </is>
      </c>
      <c r="E28" s="17" t="inlineStr">
        <is>
          <t>2단계 (Med)</t>
        </is>
      </c>
      <c r="F28" s="18" t="n">
        <v>0.015</v>
      </c>
      <c r="G28" s="4" t="inlineStr">
        <is>
          <t>우리동네 골목대장</t>
        </is>
      </c>
      <c r="H28" s="109" t="inlineStr">
        <is>
          <t>체격(1)과 대사(1)가 모두 부진해 잦은 잔병치레와 복통을 달고 살며, 생활 루틴도 보통 수준에 머물러 성장을 깨우지 못하는 상태.</t>
        </is>
      </c>
      <c r="I28" s="109" t="inlineStr">
        <is>
          <t>면역력이 저하되어 성장에 쓰여야 할 에너지가 질환/피로 회복에 전량 낭비되는 상태. 체질 개선과 영양 밀도 보강이 최우선.</t>
        </is>
      </c>
      <c r="J28" s="109" t="inlineStr">
        <is>
          <t>매일 정기적인 가벼운 성장판 스트레칭 15분, 소화 용이한 양질의 단백질 분할 식단, 수면 환경 개선을 통한 숙면 유도.</t>
        </is>
      </c>
    </row>
    <row r="29" ht="20" customHeight="1">
      <c r="A29" s="17" t="n">
        <v>27</v>
      </c>
      <c r="B29" s="17" t="inlineStr">
        <is>
          <t>1-1-1</t>
        </is>
      </c>
      <c r="C29" s="17" t="inlineStr">
        <is>
          <t>1단계 (Low)</t>
        </is>
      </c>
      <c r="D29" s="17" t="inlineStr">
        <is>
          <t>1단계 (Low)</t>
        </is>
      </c>
      <c r="E29" s="17" t="inlineStr">
        <is>
          <t>1단계 (Low)</t>
        </is>
      </c>
      <c r="F29" s="18" t="n">
        <v>0.005</v>
      </c>
      <c r="G29" s="4" t="inlineStr">
        <is>
          <t>무한성장 기대주</t>
        </is>
      </c>
      <c r="H29" s="109" t="inlineStr">
        <is>
          <t>현재 체격(1), 잠재력(1), 생활 리듬(1)이 모두 최하위권에 걸친 레드 라이트 위기 상태. 플랫폼의 전방위 독점 케어가 시급함.</t>
        </is>
      </c>
      <c r="I29" s="109" t="inlineStr">
        <is>
          <t>극심한 소음인 위장관 예민성으로 소화 효소 분비 파업 상태. 수면 불량, 영양 결핍, 스트레스가 결합된 만성 성장 정체.</t>
        </is>
      </c>
      <c r="J29" s="109" t="inlineStr">
        <is>
          <t>가벼운 맨몸 근력 및 척추 정렬 스트레칭 위주 자극, 수면 시간 9시간 이상(10시 전 취침 고수), 자기 전 2시간 전 무조건 금식.</t>
        </is>
      </c>
    </row>
    <row r="30">
      <c r="A30" s="9" t="inlineStr">
        <is>
          <t>합계</t>
        </is>
      </c>
      <c r="B30" s="22" t="n"/>
      <c r="C30" s="22" t="n"/>
      <c r="D30" s="22" t="n"/>
      <c r="E30" s="22" t="n"/>
      <c r="F30" s="23">
        <f>SUM(F3:F29)</f>
        <v/>
      </c>
      <c r="G30" s="2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35" customWidth="1" min="6" max="6"/>
  </cols>
  <sheetData>
    <row r="1" ht="35" customHeight="1">
      <c r="A1" s="48" t="inlineStr">
        <is>
          <t>BioCode 333 실전 고객 상담 대시보드 (샘플 스터디)</t>
        </is>
      </c>
    </row>
    <row r="2" ht="24" customHeight="1"/>
    <row r="3" ht="24" customHeight="1">
      <c r="A3" s="24" t="inlineStr">
        <is>
          <t>1. 고객 기본 입력 정보 (Input Layer)</t>
        </is>
      </c>
    </row>
    <row r="4" ht="24" customHeight="1">
      <c r="A4" s="49" t="inlineStr">
        <is>
          <t>고객명 / 나이</t>
        </is>
      </c>
      <c r="B4" s="26" t="inlineStr">
        <is>
          <t>김민우 (만 14세, 중2 남, 야구선수)</t>
        </is>
      </c>
      <c r="C4" s="27" t="n"/>
      <c r="D4" s="28" t="n"/>
    </row>
    <row r="5" ht="24" customHeight="1">
      <c r="A5" s="49" t="inlineStr">
        <is>
          <t>현재 신체 스펙</t>
        </is>
      </c>
      <c r="B5" s="26" t="inlineStr">
        <is>
          <t>키 165cm / 몸무게 48kg (근육량/체중 미달)</t>
        </is>
      </c>
      <c r="C5" s="27" t="n"/>
      <c r="D5" s="28" t="n"/>
    </row>
    <row r="6" ht="24" customHeight="1">
      <c r="A6" s="49" t="inlineStr">
        <is>
          <t>부모님 키 입력</t>
        </is>
      </c>
      <c r="B6" s="26" t="inlineStr">
        <is>
          <t>아버지: 180cm / 어머니: 162cm</t>
        </is>
      </c>
      <c r="C6" s="27" t="n"/>
      <c r="D6" s="28" t="n"/>
    </row>
    <row r="7" ht="24" customHeight="1">
      <c r="A7" s="49" t="inlineStr">
        <is>
          <t>유전적 예상 키(MPH)</t>
        </is>
      </c>
      <c r="B7" s="26">
        <f>(180+162+13)/2</f>
        <v/>
      </c>
      <c r="C7" s="38" t="inlineStr">
        <is>
          <t>★ 상위 10% 프로 진입 타깃 기준 (일반 평균선 대비 +15% 상향 보정)</t>
        </is>
      </c>
    </row>
    <row r="8" ht="24" customHeight="1">
      <c r="A8" s="49" t="inlineStr">
        <is>
          <t>사상의학 체질</t>
        </is>
      </c>
      <c r="B8" s="26" t="inlineStr">
        <is>
          <t>소음인 성향 (위장이 차고 소화 흡수 지연)</t>
        </is>
      </c>
      <c r="C8" s="27" t="n"/>
      <c r="D8" s="28" t="n"/>
    </row>
    <row r="9" ht="24" customHeight="1">
      <c r="A9" s="49" t="inlineStr">
        <is>
          <t>정신 및 생활습관</t>
        </is>
      </c>
      <c r="B9" s="26" t="inlineStr">
        <is>
          <t>경쟁 스트레스 높음 / 훈련량 과다 대비 수면 부족(7시간 미만)</t>
        </is>
      </c>
      <c r="C9" s="27" t="n"/>
      <c r="D9" s="28" t="n"/>
    </row>
    <row r="10" ht="24" customHeight="1"/>
    <row r="11" ht="24" customHeight="1">
      <c r="A11" s="50" t="inlineStr">
        <is>
          <t>2. 엔진 분석 스펙트럼 (Engine Processing)</t>
        </is>
      </c>
    </row>
    <row r="12" ht="24" customHeight="1">
      <c r="A12" s="49" t="inlineStr">
        <is>
          <t>Body Code 점수</t>
        </is>
      </c>
      <c r="B12" s="31" t="inlineStr">
        <is>
          <t>12.50점 (1단계 / Low)</t>
        </is>
      </c>
      <c r="C12" s="26" t="inlineStr">
        <is>
          <t>부모 유전은 좋으나 현재 인바디상 골격량 및 체중 급격한 미달</t>
        </is>
      </c>
      <c r="D12" s="28" t="n"/>
    </row>
    <row r="13" ht="24" customHeight="1">
      <c r="A13" s="49" t="inlineStr">
        <is>
          <t>Metabolism 점수</t>
        </is>
      </c>
      <c r="B13" s="31" t="inlineStr">
        <is>
          <t>18.50점 (2단계 / Medium)</t>
        </is>
      </c>
      <c r="C13" s="26" t="inlineStr">
        <is>
          <t>소음인 특유의 정서 예민성으로 영양의 성장이 차단된 보통 상태</t>
        </is>
      </c>
      <c r="D13" s="28" t="n"/>
    </row>
    <row r="14" ht="24" customHeight="1">
      <c r="A14" s="49" t="inlineStr">
        <is>
          <t>Behavior 점수</t>
        </is>
      </c>
      <c r="B14" s="31" t="inlineStr">
        <is>
          <t>15.00점 (2단계 / Medium)</t>
        </is>
      </c>
      <c r="C14" s="26" t="inlineStr">
        <is>
          <t>운동 노력은 훌륭하나 수면 및 운동 후 영양 불균형으로 감점</t>
        </is>
      </c>
      <c r="D14" s="28" t="n"/>
    </row>
    <row r="15" ht="24" customHeight="1">
      <c r="A15" s="49" t="inlineStr">
        <is>
          <t>최종 바이오코드</t>
        </is>
      </c>
      <c r="B15" s="31" t="inlineStr">
        <is>
          <t>1-2-2</t>
        </is>
      </c>
      <c r="C15" s="26" t="inlineStr">
        <is>
          <t>패턴 명칭: 【작은고추 매운맛】</t>
        </is>
      </c>
      <c r="D15" s="28" t="n"/>
    </row>
    <row r="16" ht="24" customHeight="1"/>
    <row r="17" ht="24" customHeight="1">
      <c r="A17" s="51" t="inlineStr">
        <is>
          <t>3. 상담 출력 가이드 및 솔루션 (Output Layer)</t>
        </is>
      </c>
    </row>
    <row r="18" ht="60" customHeight="1">
      <c r="A18" s="49" t="inlineStr">
        <is>
          <t>종합 진단 요약</t>
        </is>
      </c>
      <c r="B18" s="33" t="inlineStr">
        <is>
          <t>현재 훈련량은 프로 수준이나 '기름 탱크가 너무 작은 미니카' 상태입니다. 예민한 성향으로 인해 에너지가 키로 가지 못하고 운동으로 전량 연소되고 있으나, 기본 대사 밸런스가 잡혀 있어 체중 증량 시 폭발적 반등이 기대되는 매운 청양고추형 원석입니다.</t>
        </is>
      </c>
      <c r="C18" s="27" t="n"/>
      <c r="D18" s="28" t="n"/>
    </row>
    <row r="19" ht="35" customHeight="1">
      <c r="A19" s="49" t="inlineStr">
        <is>
          <t>신체(Body) 솔루션</t>
        </is>
      </c>
      <c r="B19" s="33" t="inlineStr">
        <is>
          <t>체중 5kg 즉시 증량 미션 부여 (목표: 53kg). 근육량 확보를 통한 골격 성장판 자극 요망.</t>
        </is>
      </c>
      <c r="C19" s="27" t="n"/>
      <c r="D19" s="28" t="n"/>
    </row>
    <row r="20" ht="35" customHeight="1">
      <c r="A20" s="49" t="inlineStr">
        <is>
          <t>대사(Metabolism) 솔루션</t>
        </is>
      </c>
      <c r="B20" s="33" t="inlineStr">
        <is>
          <t>소음인 체질 케어: 찬 음료/탄산 절대 금지. 경기 전 따뜻한 음료 공급 및 심리적 안정 유도.</t>
        </is>
      </c>
      <c r="C20" s="27" t="n"/>
      <c r="D20" s="28" t="n"/>
    </row>
    <row r="21" ht="35" customHeight="1">
      <c r="A21" s="49" t="inlineStr">
        <is>
          <t>생활(Behavior) 솔루션</t>
        </is>
      </c>
      <c r="B21" s="33" t="inlineStr">
        <is>
          <t>훈련 직후 30분 이내 '영양 골든타임' 사수 (단백질+바나나 등 즉시 투여). 취침 시간 8시간 보장.</t>
        </is>
      </c>
      <c r="C21" s="27" t="n"/>
      <c r="D21" s="28" t="n"/>
    </row>
    <row r="22" ht="24" customHeight="1"/>
    <row r="23" ht="24" customHeight="1">
      <c r="A23" s="52" t="inlineStr">
        <is>
          <t>4. 주니어 야구선수 최종 목표 스펙트럼 (일반 아동 ~ 프로/MLB 피지컬 사다리)</t>
        </is>
      </c>
    </row>
    <row r="24" ht="22" customHeight="1">
      <c r="A24" s="53" t="inlineStr">
        <is>
          <t>★ [만세력 DB 원격 바인딩 엔진 작동 중]</t>
        </is>
      </c>
      <c r="B24" s="44" t="inlineStr">
        <is>
          <t>뒤편 시트의 3,200일 유망주 천문 테이블과 VLOOKUP으로 연동되어 날짜 입력 즉시 오행/체질이 출력됩니다.</t>
        </is>
      </c>
      <c r="C24" s="44" t="inlineStr">
        <is>
          <t>대학 진입 컷 (상위 10%)</t>
        </is>
      </c>
      <c r="D24" s="44" t="inlineStr">
        <is>
          <t>KBO 프로 커트라인</t>
        </is>
      </c>
      <c r="E24" s="44" t="inlineStr">
        <is>
          <t>MLB 프로 스펙</t>
        </is>
      </c>
      <c r="F24" s="54" t="inlineStr">
        <is>
          <t>현재 김민우 선수 (중2 남)</t>
        </is>
      </c>
    </row>
    <row r="25" ht="28" customHeight="1">
      <c r="A25" s="55" t="inlineStr">
        <is>
          <t>예상/최종 신장</t>
        </is>
      </c>
      <c r="B25" s="17" t="inlineStr">
        <is>
          <t>165.9 cm</t>
        </is>
      </c>
      <c r="C25" s="17" t="inlineStr">
        <is>
          <t>174.5 cm (상위 10%선)</t>
        </is>
      </c>
      <c r="D25" s="45" t="inlineStr">
        <is>
          <t>184.0 cm (투수 평균)</t>
        </is>
      </c>
      <c r="E25" s="46" t="inlineStr">
        <is>
          <t>193.0 cm (투수 평균)</t>
        </is>
      </c>
      <c r="F25" s="56" t="inlineStr">
        <is>
          <t>165.0 cm (일반 평균 수준)</t>
        </is>
      </c>
    </row>
    <row r="26" ht="28" customHeight="1">
      <c r="A26" s="55" t="inlineStr">
        <is>
          <t>예상/최종 체중</t>
        </is>
      </c>
      <c r="B26" s="17" t="inlineStr">
        <is>
          <t>54.2 kg</t>
        </is>
      </c>
      <c r="C26" s="17" t="inlineStr">
        <is>
          <t>66.4 kg (체급 확보선)</t>
        </is>
      </c>
      <c r="D26" s="45" t="inlineStr">
        <is>
          <t>85.0 kg+ (벌크업 완료)</t>
        </is>
      </c>
      <c r="E26" s="46" t="inlineStr">
        <is>
          <t>95.0 kg+ (코어 프레임)</t>
        </is>
      </c>
      <c r="F26" s="56" t="inlineStr">
        <is>
          <t>48.0 kg (심각한 체중 미달)</t>
        </is>
      </c>
    </row>
    <row r="27" ht="28" customHeight="1">
      <c r="A27" s="55" t="inlineStr">
        <is>
          <t>골격근량</t>
        </is>
      </c>
      <c r="B27" s="17" t="inlineStr">
        <is>
          <t>24.1 kg</t>
        </is>
      </c>
      <c r="C27" s="17" t="inlineStr">
        <is>
          <t>31.2 kg (강타자/강속구)</t>
        </is>
      </c>
      <c r="D27" s="45" t="inlineStr">
        <is>
          <t>40.0 kg+ (프로 피지컬)</t>
        </is>
      </c>
      <c r="E27" s="46" t="inlineStr">
        <is>
          <t>46.0 kg+ (글로벌 피지컬)</t>
        </is>
      </c>
      <c r="F27" s="56" t="inlineStr">
        <is>
          <t>22.5 kg (골격근 결핍 상태)</t>
        </is>
      </c>
    </row>
    <row r="28" ht="28" customHeight="1">
      <c r="A28" s="55" t="inlineStr">
        <is>
          <t>투구 구속 (속구)</t>
        </is>
      </c>
      <c r="B28" s="17" t="inlineStr">
        <is>
          <t>-</t>
        </is>
      </c>
      <c r="C28" s="17" t="inlineStr">
        <is>
          <t>135 km/h 이상</t>
        </is>
      </c>
      <c r="D28" s="45" t="inlineStr">
        <is>
          <t>145 km/h (KBO 투수 평균)</t>
        </is>
      </c>
      <c r="E28" s="46" t="inlineStr">
        <is>
          <t>147 km/h~150km/h+</t>
        </is>
      </c>
      <c r="F28" s="56" t="inlineStr">
        <is>
          <t>- (현재 근력으로 구속 한계)</t>
        </is>
      </c>
    </row>
    <row r="29" ht="28" customHeight="1">
      <c r="A29" s="55" t="inlineStr">
        <is>
          <t>핵심 피지컬 처방</t>
        </is>
      </c>
      <c r="B29" s="17" t="inlineStr">
        <is>
          <t>일반 유지</t>
        </is>
      </c>
      <c r="C29" s="17" t="inlineStr">
        <is>
          <t>기술+기초 체력</t>
        </is>
      </c>
      <c r="D29" s="46" t="inlineStr">
        <is>
          <t>허리 신근/코어 강화</t>
        </is>
      </c>
      <c r="E29" s="46" t="inlineStr">
        <is>
          <t>글로벌 상체/주관절 균형</t>
        </is>
      </c>
      <c r="F29" s="56" t="inlineStr">
        <is>
          <t>★ 즉시 5kg 강제 증량 미션</t>
        </is>
      </c>
    </row>
  </sheetData>
  <mergeCells count="19">
    <mergeCell ref="A17:D17"/>
    <mergeCell ref="A23:D23"/>
    <mergeCell ref="C15:D15"/>
    <mergeCell ref="B8:D8"/>
    <mergeCell ref="C14:D14"/>
    <mergeCell ref="B19:D19"/>
    <mergeCell ref="B9:D9"/>
    <mergeCell ref="A11:D11"/>
    <mergeCell ref="B6:D6"/>
    <mergeCell ref="B20:D20"/>
    <mergeCell ref="A1:D1"/>
    <mergeCell ref="C12:D12"/>
    <mergeCell ref="B5:D5"/>
    <mergeCell ref="B4:D4"/>
    <mergeCell ref="C7:D7"/>
    <mergeCell ref="A3:D3"/>
    <mergeCell ref="B18:D18"/>
    <mergeCell ref="C13:D13"/>
    <mergeCell ref="B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28" customWidth="1" min="5" max="5"/>
  </cols>
  <sheetData>
    <row r="1">
      <c r="A1" s="34" t="inlineStr">
        <is>
          <t>BioCode 333 가중치 및 27개 패턴 비율 설계 근거 (국내외 논문 및 학술지 기준)</t>
        </is>
      </c>
    </row>
    <row r="2" ht="25" customHeight="1">
      <c r="A2" s="12" t="inlineStr">
        <is>
          <t>구분</t>
        </is>
      </c>
      <c r="B2" s="12" t="inlineStr">
        <is>
          <t>설계값 및 비율</t>
        </is>
      </c>
      <c r="C2" s="12" t="inlineStr">
        <is>
          <t>학술지 및 논문 근거 (Scientific Evidence)</t>
        </is>
      </c>
      <c r="D2" s="12" t="inlineStr">
        <is>
          <t>상세 메커니즘</t>
        </is>
      </c>
      <c r="E2" s="12" t="inlineStr">
        <is>
          <t>매칭 데이터 소스 코드</t>
        </is>
      </c>
    </row>
    <row r="3" ht="65" customHeight="1">
      <c r="A3" s="35" t="inlineStr">
        <is>
          <t>축별 가중치
(40% : 35% : 25%)</t>
        </is>
      </c>
      <c r="B3" s="36" t="inlineStr">
        <is>
          <t>Body (40%)
Metabolism (35%)
Behavior (25%)</t>
        </is>
      </c>
      <c r="C3" s="37" t="inlineStr">
        <is>
          <t>대한소아청소년과학회 성장학회지 / AJHB (American Journal of Human Biology)
- '소아청소년의 유전적 성장 잠재력과 후천적 환경 요인의 기여도 분석'</t>
        </is>
      </c>
      <c r="D3" s="37" t="inlineStr">
        <is>
          <t>인간의 키 성장에서 유전 및 선천 골격이 차지하는 성향점수 비중은 약 40-45%로 수렴함. 대사 및 흡수율(30-35%), 후천 행동(20-25%)의 다중회귀모형 베타 계수값 근거.</t>
        </is>
      </c>
      <c r="E3" s="36" t="inlineStr">
        <is>
          <t>Ref-01 / MPH-Model</t>
        </is>
      </c>
    </row>
    <row r="4" ht="65" customHeight="1">
      <c r="A4" s="35" t="inlineStr">
        <is>
          <t>중앙 집중 분포
(2-2-2 패턴: 45.4%)</t>
        </is>
      </c>
      <c r="B4" s="36" t="inlineStr">
        <is>
          <t>2-2-2 패턴
예상 분포: 45.46%</t>
        </is>
      </c>
      <c r="C4" s="37" t="inlineStr">
        <is>
          <t>한국기계연구원/사이즈코리아 국가신체실측조사 데이터 및 다변량 정규분포(Multivariate Normal Distribution) 이론
- '대한민국 청소년기 신체 발달의 표준 가우시안 지표 및 3차원 클러스터링'</t>
        </is>
      </c>
      <c r="D4" s="37" t="inlineStr">
        <is>
          <t>Z-score ±1.0 범위 내에 인구의 약 68.2%가 밀집되는 통계학적 규칙을 3개 축에 결합. 모든 조건이 평균에 수렴하는 비율을 역산하면 45.46% 도출.</t>
        </is>
      </c>
      <c r="E4" s="36" t="inlineStr">
        <is>
          <t>Ref-02 / Stat-Gaussian</t>
        </is>
      </c>
    </row>
    <row r="5" ht="65" customHeight="1">
      <c r="A5" s="35" t="inlineStr">
        <is>
          <t>상위 1% 미만
극단치 분포
(3-3-3, 1-1-1)</t>
        </is>
      </c>
      <c r="B5" s="36" t="inlineStr">
        <is>
          <t>3-3-3(최상): 0.73%
1-1-1(최하): 0.02%</t>
        </is>
      </c>
      <c r="C5" s="37" t="inlineStr">
        <is>
          <t>질병관리청 소아청소년 성장도표 극단치 통계(3rd, 97th Percentile 컷오프)
- '한국 아동 성장 곡선의 극단적 백분위값 분포 특성'</t>
        </is>
      </c>
      <c r="D5" s="37" t="inlineStr">
        <is>
          <t>3개 축 모두에서 상위 10% 이내(Z &gt; 1.28) 혹은 하위 10% 이내(Z &lt; -1.28)에 동시에 걸칠 확률을 베이지안 조건부 확률(Joint Probability)로 계산하여 소수점 단위 통계 구현.</t>
        </is>
      </c>
      <c r="E5" s="36" t="inlineStr">
        <is>
          <t>Ref-03 / KDCA-Percentile</t>
        </is>
      </c>
    </row>
    <row r="6" ht="65" customHeight="1">
      <c r="A6" s="35" t="inlineStr">
        <is>
          <t>대사/예민성 연동
(X-1-X 패턴 감점)</t>
        </is>
      </c>
      <c r="B6" s="36" t="inlineStr">
        <is>
          <t>Metabolism 1단계
수렴 비율 역산</t>
        </is>
      </c>
      <c r="C6" s="37" t="inlineStr">
        <is>
          <t>대한한의학회지 / 사상체질의학회
- '소음인 기질적 예민성이 위장관 운동성 및 영양 흡수율에 미치는 임상적 영향'</t>
        </is>
      </c>
      <c r="D6" s="37" t="inlineStr">
        <is>
          <t>신경성 위장관 장애를 겪는 아동의 경우 자율신경계 교감신경 흥분으로 소화 효소 분비가 최대 42% 감소한다는 임상 데이터 반영. Metabolism 축 점수 하락 유도.</t>
        </is>
      </c>
      <c r="E6" s="36" t="inlineStr">
        <is>
          <t>Ref-04 / KIOM-Sasang</t>
        </is>
      </c>
    </row>
    <row r="7" ht="65" customHeight="1">
      <c r="A7" s="35" t="inlineStr">
        <is>
          <t>종목별 선수 신체 특성
(야구/스포츠 가중치)</t>
        </is>
      </c>
      <c r="B7" s="36" t="inlineStr">
        <is>
          <t>야구: KBO 투수(184cm)
MLB 투수(193cm)
축구/농구: 민첩성/점프력</t>
        </is>
      </c>
      <c r="C7" s="37" t="inlineStr">
        <is>
          <t>PHYSICAL UP 백서 제7장 및 국내 고교야구선수 등속성 근력 기준치(김수현 외, 2016; 2017)</t>
        </is>
      </c>
      <c r="D7" s="37" t="inlineStr">
        <is>
          <t>KBO/MLB 프로 레벨의 피지컬 사다리를 타깃 상수로 고정. 고교 선수의 허리 신근 및 주관절 근력 균형 데이터 기반으로 종목 가중 다이나믹 컷오프 연동.</t>
        </is>
      </c>
      <c r="E7" s="36" t="inlineStr">
        <is>
          <t>WhitePaper-Ch7 / Ref-c,d</t>
        </is>
      </c>
    </row>
    <row r="8" ht="65" customHeight="1">
      <c r="A8" s="35" t="inlineStr">
        <is>
          <t>생년월일시 연동
(사상의학/성리학 기질)</t>
        </is>
      </c>
      <c r="B8" s="36" t="inlineStr">
        <is>
          <t>오행[木火土金水] 스코어링
소음인/소양인/태음인 자동 매핑</t>
        </is>
      </c>
      <c r="C8" s="37" t="inlineStr">
        <is>
          <t>한국한의학연구원(KIOM) 체질정보 뱅크 및 동의수세보원(이제마)
- 성리학 사단칠정론 기반 정서 예민성 연동 모형</t>
        </is>
      </c>
      <c r="D8" s="37" t="inlineStr">
        <is>
          <t>생년월일시 만세력 파싱 후 [金/水] 기운 우세 시 소음인(정서 예민성, 위장관 대사 흡수 한계) 상수로 매핑. AI API 실시간 통신 없이 100% 오프라인 수식(Rule-based) 연산 보장.</t>
        </is>
      </c>
      <c r="E8" s="36" t="inlineStr">
        <is>
          <t>Ref-04 / Sasang-Rule</t>
        </is>
      </c>
    </row>
    <row r="9" ht="65" customHeight="1">
      <c r="A9" s="35" t="inlineStr">
        <is>
          <t>성리학 심리 3대 변수
(정서 및 멘탈 분석)</t>
        </is>
      </c>
      <c r="B9" s="37" t="inlineStr">
        <is>
          <t>1. 심(心) - 컨트롤타워
2. 성(性) - 선천적 기질
3. 정(情) - 후천적 감정</t>
        </is>
      </c>
      <c r="C9" s="37" t="inlineStr">
        <is>
          <t>한국학중앙연구원 성리학 퇴계-율곡 사단칠정론(四端七情論) 정서 메커니즘 해석</t>
        </is>
      </c>
      <c r="D9" s="37" t="inlineStr">
        <is>
          <t>선천적 성향인 [성(性)], 후천적 감정 변화인 [정(情)], 이를 주재하는 정신적 컨트롤타워 [심(心)]의 3대 변수를 수치화. 아동의 훈련 강박 및 멘탈 예민성을 정교하게 추적하여 가중치 반영.</t>
        </is>
      </c>
      <c r="E9" s="36" t="inlineStr">
        <is>
          <t>NeoConfucian-Mind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30" customWidth="1" min="4" max="4"/>
    <col width="13" customWidth="1" min="5" max="5"/>
  </cols>
  <sheetData>
    <row r="2" ht="22.5" customHeight="1">
      <c r="B2" s="93" t="inlineStr">
        <is>
          <t>⑧ 속설깨기 + 습관 진단 — 보고서 마무리·습관축 근거</t>
        </is>
      </c>
    </row>
    <row r="3" ht="15" customHeight="1">
      <c r="B3" s="94" t="inlineStr">
        <is>
          <t>속설=부모 오해 바로잡기(채널·보고서 떡밥) / 습관=생활습관 좋고나쁨 진단 → 습관축 반영</t>
        </is>
      </c>
    </row>
    <row r="5" ht="18.75" customHeight="1">
      <c r="B5" s="95" t="inlineStr">
        <is>
          <t>■ [A] 속설깨기 — '오해 → 진실 → 희망 메시지'</t>
        </is>
      </c>
    </row>
    <row r="6" ht="15" customHeight="1">
      <c r="B6" s="96" t="inlineStr">
        <is>
          <t>속설(오해)</t>
        </is>
      </c>
      <c r="C6" s="96" t="inlineStr">
        <is>
          <t>진실</t>
        </is>
      </c>
      <c r="D6" s="96" t="inlineStr">
        <is>
          <t>한 줄 희망 메시지</t>
        </is>
      </c>
      <c r="E6" s="96" t="inlineStr">
        <is>
          <t>근거</t>
        </is>
      </c>
    </row>
    <row r="7" ht="26.25" customHeight="1">
      <c r="B7" s="97" t="inlineStr">
        <is>
          <t>털 나면 키 멈춘다</t>
        </is>
      </c>
      <c r="C7" s="98" t="inlineStr">
        <is>
          <t>털 '나기 시작'=급성장 신호, '다 굵은 후'=둔화. 순서가 핵심</t>
        </is>
      </c>
      <c r="D7" s="99" t="inlineStr">
        <is>
          <t>털 보여도 아직 한참 큰다!</t>
        </is>
      </c>
      <c r="E7" s="100" t="inlineStr">
        <is>
          <t>§8</t>
        </is>
      </c>
    </row>
    <row r="8" ht="26.25" customHeight="1">
      <c r="B8" s="97" t="inlineStr">
        <is>
          <t>발 크면 키 큰다</t>
        </is>
      </c>
      <c r="C8" s="98" t="inlineStr">
        <is>
          <t>말단(발·손) 먼저 큼 → 곧 다리뼈·키 급성장 (원위→근위)</t>
        </is>
      </c>
      <c r="D8" s="99" t="inlineStr">
        <is>
          <t>발 갑자기 커졌다=키 클 타이밍!</t>
        </is>
      </c>
      <c r="E8" s="100" t="inlineStr">
        <is>
          <t>§9</t>
        </is>
      </c>
    </row>
    <row r="9" ht="26.25" customHeight="1">
      <c r="B9" s="97" t="inlineStr">
        <is>
          <t>팔다리 길면 키 큰다</t>
        </is>
      </c>
      <c r="C9" s="98" t="inlineStr">
        <is>
          <t>손발·종아리 먼저 → 대퇴골·척추 마지막. 다리 길면 성장잠재력↑</t>
        </is>
      </c>
      <c r="D9" s="99" t="inlineStr">
        <is>
          <t>슬림하고 다리 길면 큰키 바탕!</t>
        </is>
      </c>
      <c r="E9" s="100" t="inlineStr">
        <is>
          <t>§10</t>
        </is>
      </c>
    </row>
    <row r="10" ht="39" customHeight="1">
      <c r="B10" s="97" t="inlineStr">
        <is>
          <t>근력운동하면 키 안 큰다</t>
        </is>
      </c>
      <c r="C10" s="98" t="inlineStr">
        <is>
          <t>★올바른 근력운동은 성장 촉진(GH·IGF-1↑·골밀도↑). 울프의 법칙</t>
        </is>
      </c>
      <c r="D10" s="99" t="inlineStr">
        <is>
          <t>바른 근력운동은 키도 키운다!</t>
        </is>
      </c>
      <c r="E10" s="100" t="inlineStr">
        <is>
          <t>§12</t>
        </is>
      </c>
    </row>
    <row r="11" ht="29.25" customHeight="1">
      <c r="B11" s="97" t="inlineStr">
        <is>
          <t>키 크는 영양제가 마법</t>
        </is>
      </c>
      <c r="C11" s="98" t="inlineStr">
        <is>
          <t>대부분 건강기능식품. 결핍 아동만 catch-up 효과</t>
        </is>
      </c>
      <c r="D11" s="99" t="inlineStr">
        <is>
          <t>잘 먹는 아이는 영양제 불필요!</t>
        </is>
      </c>
      <c r="E11" s="100" t="inlineStr">
        <is>
          <t>§13</t>
        </is>
      </c>
    </row>
    <row r="12" ht="26.25" customHeight="1">
      <c r="B12" s="97" t="inlineStr">
        <is>
          <t>키 크는 기계 효과</t>
        </is>
      </c>
      <c r="C12" s="98" t="inlineStr">
        <is>
          <t>의학적 근거 약함. 비싼 돈 낭비 주의</t>
        </is>
      </c>
      <c r="D12" s="99" t="inlineStr">
        <is>
          <t>돈은 좋은 음식·수면에!</t>
        </is>
      </c>
      <c r="E12" s="100" t="inlineStr">
        <is>
          <t>§14</t>
        </is>
      </c>
    </row>
    <row r="13" ht="26.25" customHeight="1">
      <c r="B13" s="97" t="inlineStr">
        <is>
          <t>물 마시면 흡수 방해</t>
        </is>
      </c>
      <c r="C13" s="98" t="inlineStr">
        <is>
          <t>물 자체는 성장·뼈 직접 안 막음 (식사 중 과량만 주의)</t>
        </is>
      </c>
      <c r="D13" s="99" t="inlineStr">
        <is>
          <t>적당한 물은 문제 없다!</t>
        </is>
      </c>
      <c r="E13" s="100" t="inlineStr">
        <is>
          <t>§19</t>
        </is>
      </c>
    </row>
    <row r="15" ht="18.75" customHeight="1">
      <c r="B15" s="95" t="inlineStr">
        <is>
          <t>■ [B] 습관 진단 — 좋은/나쁜 습관 → 습관축 반영 + 처방</t>
        </is>
      </c>
    </row>
    <row r="16" ht="15" customHeight="1">
      <c r="B16" s="96" t="inlineStr">
        <is>
          <t>습관</t>
        </is>
      </c>
      <c r="C16" s="96" t="inlineStr">
        <is>
          <t>좋음/나쁨·영향</t>
        </is>
      </c>
      <c r="D16" s="96" t="inlineStr">
        <is>
          <t>처방(나아갈 길)</t>
        </is>
      </c>
      <c r="E16" s="96" t="inlineStr">
        <is>
          <t>근거</t>
        </is>
      </c>
    </row>
    <row r="17" ht="24" customHeight="1">
      <c r="B17" s="101" t="inlineStr">
        <is>
          <t>카페인(콜라·에너지)</t>
        </is>
      </c>
      <c r="C17" s="98" t="inlineStr">
        <is>
          <t>나쁨: 철·칼슘 흡수방해+수면방해(GH↓)</t>
        </is>
      </c>
      <c r="D17" s="98" t="inlineStr">
        <is>
          <t>탄산·에너지음료 끊기, 숨은 카페인 주의</t>
        </is>
      </c>
      <c r="E17" s="100" t="inlineStr">
        <is>
          <t>§21A</t>
        </is>
      </c>
    </row>
    <row r="18" ht="26.25" customHeight="1">
      <c r="B18" s="101" t="inlineStr">
        <is>
          <t>스마트폰 야간</t>
        </is>
      </c>
      <c r="C18" s="98" t="inlineStr">
        <is>
          <t>나쁨: 움직임 뺏고 늦잠→수면·활동 저해</t>
        </is>
      </c>
      <c r="D18" s="98" t="inlineStr">
        <is>
          <t>취침 1시간 전 끄기, 낮 활동 늘리기</t>
        </is>
      </c>
      <c r="E18" s="100" t="inlineStr">
        <is>
          <t>§21B</t>
        </is>
      </c>
    </row>
    <row r="19" ht="15" customHeight="1">
      <c r="B19" s="101" t="inlineStr">
        <is>
          <t>좌식 생활</t>
        </is>
      </c>
      <c r="C19" s="98" t="inlineStr">
        <is>
          <t>나쁨: 활동량↓ 기초대사↓</t>
        </is>
      </c>
      <c r="D19" s="102" t="inlineStr">
        <is>
          <t>30분마다 일어나기, 점프·스트레칭</t>
        </is>
      </c>
      <c r="E19" s="100" t="inlineStr">
        <is>
          <t>§21</t>
        </is>
      </c>
    </row>
    <row r="20" ht="15" customHeight="1">
      <c r="B20" s="101" t="inlineStr">
        <is>
          <t>불규칙 배변</t>
        </is>
      </c>
      <c r="C20" s="98" t="inlineStr">
        <is>
          <t>나쁨: 장 흡수 저하 신호</t>
        </is>
      </c>
      <c r="D20" s="98" t="inlineStr">
        <is>
          <t>규칙적 식사·발효식품·수분</t>
        </is>
      </c>
      <c r="E20" s="100" t="inlineStr">
        <is>
          <t>§21</t>
        </is>
      </c>
    </row>
    <row r="21" ht="15" customHeight="1">
      <c r="B21" s="101" t="inlineStr">
        <is>
          <t>야식·취침전 식사</t>
        </is>
      </c>
      <c r="C21" s="98" t="inlineStr">
        <is>
          <t>나쁨: 수면질↓ 성장호르몬 방해</t>
        </is>
      </c>
      <c r="D21" s="98" t="inlineStr">
        <is>
          <t>취침 2~3시간 전 식사 마치기</t>
        </is>
      </c>
      <c r="E21" s="100" t="inlineStr">
        <is>
          <t>§22</t>
        </is>
      </c>
    </row>
    <row r="22" ht="29.25" customHeight="1">
      <c r="B22" s="103" t="inlineStr">
        <is>
          <t>충분한 수면(밤 10시전)</t>
        </is>
      </c>
      <c r="C22" s="98" t="inlineStr">
        <is>
          <t>★좋음: 깊은수면=성장호르몬 최대 분비</t>
        </is>
      </c>
      <c r="D22" s="98" t="inlineStr">
        <is>
          <t>밤 10~새벽2시 숙면 사수</t>
        </is>
      </c>
      <c r="E22" s="100" t="inlineStr">
        <is>
          <t>§3·22</t>
        </is>
      </c>
    </row>
    <row r="23" ht="15" customHeight="1">
      <c r="B23" s="103" t="inlineStr">
        <is>
          <t>점프 운동(농구·배구)</t>
        </is>
      </c>
      <c r="C23" s="98" t="inlineStr">
        <is>
          <t>★좋음: 성장판 자극→키 성장</t>
        </is>
      </c>
      <c r="D23" s="98" t="inlineStr">
        <is>
          <t>주 3회 점프·줄넘기</t>
        </is>
      </c>
      <c r="E23" s="100" t="inlineStr">
        <is>
          <t>§12</t>
        </is>
      </c>
    </row>
    <row r="24" ht="26.25" customHeight="1">
      <c r="B24" s="103" t="inlineStr">
        <is>
          <t>우유 1~2잔</t>
        </is>
      </c>
      <c r="C24" s="98" t="inlineStr">
        <is>
          <t>★좋음: 칼슘·단백질 (과량은 불필요)</t>
        </is>
      </c>
      <c r="D24" s="98" t="inlineStr">
        <is>
          <t>하루 1~2잔, 두유 대체 가능</t>
        </is>
      </c>
      <c r="E24" s="100" t="inlineStr">
        <is>
          <t>§18</t>
        </is>
      </c>
    </row>
    <row r="26" ht="15" customHeight="1">
      <c r="B26" s="104" t="inlineStr">
        <is>
          <t>★ 속설=보고서 마무리 '안심 멘트' / 습관=습관축 점수 + 처방 로드맵에 직접 연결 (근거 §=근거DB)</t>
        </is>
      </c>
    </row>
  </sheetData>
  <mergeCells count="5">
    <mergeCell ref="B26:E26"/>
    <mergeCell ref="B15:E15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2026-06-24T23:48:55Z</dcterms:created>
  <dcterms:modified xmlns:dcterms="http://purl.org/dc/terms/" xmlns:xsi="http://www.w3.org/2001/XMLSchema-instance" xsi:type="dcterms:W3CDTF">2026-06-25T08:34:31Z</dcterms:modified>
</cp:coreProperties>
</file>