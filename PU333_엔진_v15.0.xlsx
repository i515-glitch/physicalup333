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★상담대시보드" sheetId="1" state="visible" r:id="rId1"/>
    <sheet xmlns:r="http://schemas.openxmlformats.org/officeDocument/2006/relationships" name="★컨트롤패널" sheetId="2" state="visible" r:id="rId2"/>
    <sheet xmlns:r="http://schemas.openxmlformats.org/officeDocument/2006/relationships" name="1_설문90문항" sheetId="3" state="visible" r:id="rId3"/>
    <sheet xmlns:r="http://schemas.openxmlformats.org/officeDocument/2006/relationships" name="2_인바디항목" sheetId="4" state="visible" r:id="rId4"/>
    <sheet xmlns:r="http://schemas.openxmlformats.org/officeDocument/2006/relationships" name="3_기질" sheetId="5" state="visible" r:id="rId5"/>
    <sheet xmlns:r="http://schemas.openxmlformats.org/officeDocument/2006/relationships" name="5_부모키유전" sheetId="6" state="visible" r:id="rId6"/>
    <sheet xmlns:r="http://schemas.openxmlformats.org/officeDocument/2006/relationships" name="6_목표시트" sheetId="7" state="visible" r:id="rId7"/>
    <sheet xmlns:r="http://schemas.openxmlformats.org/officeDocument/2006/relationships" name="9가지경우정의" sheetId="8" state="visible" r:id="rId8"/>
    <sheet xmlns:r="http://schemas.openxmlformats.org/officeDocument/2006/relationships" name="27코드마스터" sheetId="9" state="visible" r:id="rId9"/>
    <sheet xmlns:r="http://schemas.openxmlformats.org/officeDocument/2006/relationships" name="종목요구코드" sheetId="10" state="visible" r:id="rId10"/>
    <sheet xmlns:r="http://schemas.openxmlformats.org/officeDocument/2006/relationships" name="★백서연결" sheetId="11" state="visible" r:id="rId11"/>
    <sheet xmlns:r="http://schemas.openxmlformats.org/officeDocument/2006/relationships" name="5. 가중치 및 비율 근거 자료" sheetId="12" state="visible" r:id="rId12"/>
    <sheet xmlns:r="http://schemas.openxmlformats.org/officeDocument/2006/relationships" name="속설·습관 처방" sheetId="13" state="visible" r:id="rId13"/>
    <sheet xmlns:r="http://schemas.openxmlformats.org/officeDocument/2006/relationships" name="★사용설명서" sheetId="14" state="visible" r:id="rId14"/>
    <sheet xmlns:r="http://schemas.openxmlformats.org/officeDocument/2006/relationships" name="0_엔진전체도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charset val="1"/>
      <family val="2"/>
      <b val="1"/>
      <color rgb="FF15233B"/>
      <sz val="15"/>
    </font>
    <font>
      <name val="Noto Sans CJK SC"/>
      <charset val="1"/>
      <family val="2"/>
      <i val="1"/>
      <color rgb="FFB8860B"/>
      <sz val="9"/>
    </font>
    <font>
      <name val="맑은 고딕"/>
      <charset val="1"/>
      <family val="0"/>
      <b val="1"/>
      <color rgb="FF15233B"/>
      <sz val="12"/>
    </font>
    <font>
      <name val="Noto Sans CJK SC"/>
      <family val="2"/>
      <b val="1"/>
      <color rgb="FF15233B"/>
      <sz val="12"/>
    </font>
    <font>
      <name val="Noto Sans CJK SC"/>
      <charset val="1"/>
      <family val="2"/>
      <b val="1"/>
      <color rgb="FF1C2531"/>
      <sz val="10"/>
    </font>
    <font>
      <name val="Noto Sans CJK SC"/>
      <charset val="1"/>
      <family val="2"/>
      <b val="1"/>
      <color rgb="FF0000FF"/>
      <sz val="12"/>
    </font>
    <font>
      <name val="Noto Sans CJK SC"/>
      <charset val="1"/>
      <family val="2"/>
      <b val="1"/>
      <color rgb="FFB8860B"/>
      <sz val="9"/>
    </font>
    <font>
      <name val="맑은 고딕"/>
      <charset val="1"/>
      <family val="0"/>
      <b val="1"/>
      <color rgb="FF1C2531"/>
      <sz val="10"/>
    </font>
    <font>
      <name val="Noto Sans CJK SC"/>
      <family val="2"/>
      <b val="1"/>
      <color rgb="FF1C2531"/>
      <sz val="10"/>
    </font>
    <font>
      <name val="맑은 고딕"/>
      <charset val="1"/>
      <family val="0"/>
      <b val="1"/>
      <color rgb="FF0000FF"/>
      <sz val="12"/>
    </font>
    <font>
      <name val="맑은 고딕"/>
      <charset val="1"/>
      <family val="0"/>
      <b val="1"/>
      <color rgb="FF15233B"/>
      <sz val="11"/>
    </font>
    <font>
      <name val="Noto Sans CJK SC"/>
      <charset val="1"/>
      <family val="2"/>
      <b val="1"/>
      <color rgb="FF15233B"/>
      <sz val="9"/>
    </font>
    <font>
      <name val="Noto Sans CJK SC"/>
      <charset val="1"/>
      <family val="2"/>
      <color rgb="FF1C2531"/>
      <sz val="9"/>
    </font>
    <font>
      <name val="맑은 고딕"/>
      <charset val="1"/>
      <family val="0"/>
      <b val="1"/>
      <color rgb="FFC00000"/>
      <sz val="12"/>
    </font>
    <font>
      <name val="Noto Sans CJK SC"/>
      <family val="2"/>
      <b val="1"/>
      <color rgb="FFC00000"/>
      <sz val="12"/>
    </font>
    <font>
      <name val="Noto Sans CJK SC"/>
      <charset val="1"/>
      <family val="2"/>
      <b val="1"/>
      <color rgb="FFC00000"/>
      <sz val="9"/>
    </font>
    <font>
      <name val="맑은 고딕"/>
      <charset val="1"/>
      <family val="0"/>
      <b val="1"/>
      <color rgb="FFB8860B"/>
      <sz val="10"/>
    </font>
    <font>
      <name val="Noto Sans CJK SC"/>
      <charset val="1"/>
      <family val="2"/>
      <b val="1"/>
      <color rgb="FF1C2531"/>
      <sz val="9"/>
    </font>
    <font>
      <name val="맑은 고딕"/>
      <charset val="1"/>
      <family val="0"/>
      <color rgb="FF1C2531"/>
      <sz val="9"/>
    </font>
    <font>
      <name val="맑은 고딕"/>
      <charset val="1"/>
      <family val="0"/>
      <b val="1"/>
      <color rgb="FF15233B"/>
      <sz val="10"/>
    </font>
    <font>
      <name val="Noto Sans CJK SC"/>
      <charset val="1"/>
      <family val="2"/>
      <b val="1"/>
      <color rgb="FFC00000"/>
      <sz val="10"/>
    </font>
    <font>
      <name val="맑은 고딕"/>
      <charset val="1"/>
      <family val="0"/>
      <b val="1"/>
      <color rgb="FF15233B"/>
      <sz val="14"/>
    </font>
    <font>
      <name val="Noto Sans CJK SC"/>
      <family val="2"/>
      <b val="1"/>
      <color rgb="FF15233B"/>
      <sz val="14"/>
    </font>
    <font>
      <name val="Noto Sans CJK SC"/>
      <family val="2"/>
      <b val="1"/>
      <color rgb="FF15233B"/>
      <sz val="11"/>
    </font>
    <font>
      <name val="Noto Sans CJK SC"/>
      <charset val="1"/>
      <family val="2"/>
      <b val="1"/>
      <color rgb="FFFFFFFF"/>
      <sz val="9"/>
    </font>
    <font>
      <name val="맑은 고딕"/>
      <charset val="1"/>
      <family val="0"/>
      <color rgb="FF0000FF"/>
      <sz val="10"/>
    </font>
    <font>
      <name val="맑은 고딕"/>
      <charset val="1"/>
      <family val="0"/>
      <color rgb="FFB8860B"/>
      <sz val="9"/>
    </font>
    <font>
      <name val="Noto Sans CJK SC"/>
      <charset val="1"/>
      <family val="2"/>
      <color rgb="FF1C2531"/>
      <sz val="10"/>
    </font>
    <font>
      <name val="맑은 고딕"/>
      <charset val="1"/>
      <family val="0"/>
      <b val="1"/>
      <color rgb="FFFFFFFF"/>
      <sz val="9"/>
    </font>
    <font>
      <name val="Noto Sans CJK SC"/>
      <family val="2"/>
      <b val="1"/>
      <color rgb="FFFFFFFF"/>
      <sz val="9"/>
    </font>
    <font>
      <name val="Noto Sans CJK SC"/>
      <charset val="1"/>
      <family val="2"/>
      <color rgb="FF7B8493"/>
      <sz val="9"/>
    </font>
    <font>
      <name val="Noto Sans CJK SC"/>
      <charset val="1"/>
      <family val="2"/>
      <b val="1"/>
      <color rgb="FFB08A3E"/>
      <sz val="9"/>
    </font>
    <font>
      <name val="Noto Sans CJK SC"/>
      <charset val="1"/>
      <family val="2"/>
      <b val="1"/>
      <color rgb="FFB08A3E"/>
      <sz val="12"/>
    </font>
    <font>
      <name val="맑은 고딕"/>
      <charset val="1"/>
      <family val="0"/>
      <b val="1"/>
      <color rgb="FF1C2531"/>
      <sz val="9"/>
    </font>
    <font>
      <name val="맑은 고딕"/>
      <charset val="1"/>
      <family val="0"/>
      <color rgb="FF1C2531"/>
      <sz val="10"/>
    </font>
    <font>
      <name val="맑은 고딕"/>
      <charset val="1"/>
      <family val="0"/>
      <b val="1"/>
      <color rgb="FFB08A3E"/>
      <sz val="11"/>
    </font>
    <font>
      <name val="Noto Sans CJK SC"/>
      <family val="2"/>
      <b val="1"/>
      <color rgb="FFB08A3E"/>
      <sz val="11"/>
    </font>
    <font>
      <name val="Noto Sans CJK SC"/>
      <family val="2"/>
      <b val="1"/>
      <color rgb="FF1C2531"/>
      <sz val="9"/>
    </font>
    <font>
      <name val="Noto Sans CJK SC"/>
      <family val="2"/>
      <color rgb="FF1C2531"/>
      <sz val="9"/>
    </font>
    <font>
      <name val="Noto Sans CJK SC"/>
      <charset val="1"/>
      <family val="2"/>
      <color rgb="FF9C4536"/>
      <sz val="9"/>
    </font>
    <font>
      <name val="Noto Sans CJK SC"/>
      <family val="2"/>
      <b val="1"/>
      <color rgb="FF15233B"/>
      <sz val="15"/>
    </font>
    <font>
      <name val="맑은 고딕"/>
      <charset val="1"/>
      <family val="0"/>
      <b val="1"/>
      <color rgb="FF15233B"/>
      <sz val="15"/>
    </font>
    <font>
      <name val="Noto Sans CJK SC"/>
      <family val="2"/>
      <color rgb="FF7B8493"/>
      <sz val="9"/>
    </font>
    <font>
      <name val="맑은 고딕"/>
      <charset val="1"/>
      <family val="0"/>
      <color rgb="FF7B8493"/>
      <sz val="9"/>
    </font>
    <font>
      <name val="Noto Sans CJK SC"/>
      <family val="2"/>
      <b val="1"/>
      <color rgb="FFFFFFFF"/>
      <sz val="10"/>
    </font>
    <font>
      <name val="맑은 고딕"/>
      <charset val="1"/>
      <family val="0"/>
      <b val="1"/>
      <color rgb="FFFFFFFF"/>
      <sz val="10"/>
    </font>
    <font>
      <name val="Noto Sans CJK SC"/>
      <family val="2"/>
      <color rgb="FF9AA4B2"/>
      <sz val="9"/>
    </font>
    <font>
      <name val="맑은 고딕"/>
      <charset val="1"/>
      <family val="0"/>
      <b val="1"/>
      <color rgb="FF1C2531"/>
      <sz val="11"/>
    </font>
    <font>
      <name val="Noto Sans CJK SC"/>
      <family val="2"/>
      <color rgb="FF5A6473"/>
      <sz val="9"/>
    </font>
    <font>
      <name val="Noto Sans CJK SC"/>
      <family val="2"/>
      <color rgb="FF1C2531"/>
      <sz val="10"/>
    </font>
    <font>
      <name val="Noto Sans CJK SC"/>
      <family val="2"/>
      <b val="1"/>
      <color rgb="FF1C2531"/>
      <sz val="11"/>
    </font>
    <font>
      <name val="맑은 고딕"/>
      <charset val="1"/>
      <family val="0"/>
      <b val="1"/>
      <color rgb="FFB08A3E"/>
      <sz val="12"/>
    </font>
    <font>
      <name val="맑은 고딕"/>
      <charset val="1"/>
      <family val="0"/>
      <b val="1"/>
      <color rgb="FFB08A3E"/>
      <sz val="9"/>
    </font>
    <font>
      <name val="Noto Sans CJK SC"/>
      <family val="2"/>
      <b val="1"/>
      <color rgb="FFB08A3E"/>
      <sz val="9"/>
    </font>
    <font>
      <name val="Noto Sans CJK SC"/>
      <charset val="1"/>
      <family val="2"/>
      <color rgb="FF7B8493"/>
      <sz val="8"/>
    </font>
    <font>
      <name val="Noto Sans CJK SC"/>
      <family val="2"/>
      <b val="1"/>
      <color rgb="FFB08A3E"/>
      <sz val="12"/>
    </font>
    <font>
      <name val="Noto Sans CJK SC"/>
      <charset val="1"/>
      <family val="2"/>
      <color rgb="FF5A6473"/>
      <sz val="9"/>
    </font>
    <font>
      <name val="Noto Sans CJK SC"/>
      <charset val="1"/>
      <family val="2"/>
      <b val="1"/>
      <color rgb="FFFFFFFF"/>
      <sz val="10"/>
    </font>
    <font>
      <name val="맑은 고딕"/>
      <charset val="1"/>
      <family val="0"/>
      <color rgb="FF7B8493"/>
      <sz val="10"/>
    </font>
    <font>
      <name val="Noto Sans CJK SC"/>
      <charset val="1"/>
      <family val="2"/>
      <b val="1"/>
      <color rgb="FF2E7D32"/>
      <sz val="10"/>
    </font>
    <font>
      <name val="맑은 고딕"/>
      <charset val="1"/>
      <family val="0"/>
      <b val="1"/>
      <color rgb="FF15233B"/>
      <sz val="13"/>
    </font>
    <font>
      <name val="Noto Sans CJK SC"/>
      <family val="2"/>
      <b val="1"/>
      <color rgb="FF15233B"/>
      <sz val="13"/>
    </font>
    <font>
      <name val="맑은 고딕"/>
      <charset val="1"/>
      <family val="0"/>
      <i val="1"/>
      <color rgb="FFB8860B"/>
      <sz val="9"/>
    </font>
    <font>
      <name val="Noto Sans CJK SC"/>
      <family val="2"/>
      <i val="1"/>
      <color rgb="FFB8860B"/>
      <sz val="9"/>
    </font>
    <font>
      <name val="Noto Sans CJK SC"/>
      <charset val="1"/>
      <family val="2"/>
      <b val="1"/>
      <color rgb="FF15233B"/>
      <sz val="11"/>
    </font>
    <font>
      <name val="Noto Sans CJK SC"/>
      <family val="2"/>
      <color rgb="FFB8860B"/>
      <sz val="9"/>
    </font>
    <font>
      <name val="Noto Sans CJK SC"/>
      <charset val="1"/>
      <family val="2"/>
      <b val="1"/>
      <color rgb="FFFFFFFF"/>
      <sz val="8"/>
    </font>
    <font>
      <name val="맑은 고딕"/>
      <charset val="1"/>
      <family val="0"/>
      <b val="1"/>
      <color rgb="FF15233B"/>
      <sz val="8"/>
    </font>
    <font>
      <name val="맑은 고딕"/>
      <charset val="1"/>
      <family val="0"/>
      <color rgb="FF1C2531"/>
      <sz val="8"/>
    </font>
    <font>
      <name val="Noto Sans CJK SC"/>
      <charset val="1"/>
      <family val="2"/>
      <color rgb="FF1C2531"/>
      <sz val="8"/>
    </font>
    <font>
      <name val="맑은 고딕"/>
      <charset val="1"/>
      <family val="0"/>
      <sz val="8"/>
    </font>
    <font>
      <name val="Noto Sans CJK SC"/>
      <charset val="1"/>
      <family val="2"/>
      <b val="1"/>
      <color rgb="FF15233B"/>
      <sz val="13"/>
    </font>
    <font>
      <name val="Noto Sans CJK SC"/>
      <charset val="1"/>
      <family val="2"/>
      <i val="1"/>
      <color rgb="FFC00000"/>
      <sz val="9"/>
    </font>
    <font>
      <name val="맑은 고딕"/>
      <charset val="1"/>
      <family val="0"/>
      <b val="1"/>
      <color rgb="FFB8860B"/>
      <sz val="9"/>
    </font>
    <font>
      <name val="맑은 고딕"/>
      <charset val="1"/>
      <family val="0"/>
      <color rgb="FF888888"/>
      <sz val="8"/>
    </font>
    <font>
      <name val="Noto Sans CJK SC"/>
      <family val="2"/>
      <color rgb="FF888888"/>
      <sz val="8"/>
    </font>
    <font>
      <name val="Noto Sans CJK SC"/>
      <charset val="1"/>
      <family val="2"/>
      <color rgb="FF888888"/>
      <sz val="8"/>
    </font>
    <font>
      <name val="맑은 고딕"/>
      <charset val="1"/>
      <family val="0"/>
      <b val="1"/>
      <color rgb="FFC00000"/>
      <sz val="10"/>
    </font>
    <font>
      <name val="Noto Sans CJK SC"/>
      <family val="2"/>
      <b val="1"/>
      <color rgb="FFC00000"/>
      <sz val="10"/>
    </font>
    <font>
      <name val="Noto Sans CJK SC"/>
      <charset val="1"/>
      <family val="2"/>
      <color rgb="FF555555"/>
      <sz val="9"/>
    </font>
    <font>
      <name val="Noto Sans CJK SC"/>
      <charset val="1"/>
      <family val="2"/>
      <b val="1"/>
      <color rgb="FF1C2531"/>
      <sz val="10.5"/>
    </font>
    <font>
      <name val="Noto Sans CJK SC"/>
      <charset val="1"/>
      <family val="2"/>
      <color rgb="FF1C2531"/>
      <sz val="9.5"/>
    </font>
    <font>
      <name val="맑은 고딕"/>
      <charset val="1"/>
      <family val="0"/>
      <color rgb="FF1C2531"/>
      <sz val="9.5"/>
    </font>
    <font>
      <name val="Noto Sans CJK SC"/>
      <family val="2"/>
      <color rgb="FF1C2531"/>
      <sz val="9.5"/>
    </font>
    <font>
      <name val="Noto Sans CJK SC"/>
      <charset val="1"/>
      <family val="2"/>
      <b val="1"/>
      <color rgb="FFB8860B"/>
      <sz val="10"/>
    </font>
    <font>
      <name val="Malgun Gothic"/>
      <charset val="1"/>
      <family val="0"/>
      <b val="1"/>
      <color rgb="FF1B365D"/>
      <sz val="14"/>
    </font>
    <font>
      <name val="Noto Sans CJK SC"/>
      <family val="2"/>
      <b val="1"/>
      <color rgb="FF1B365D"/>
      <sz val="14"/>
    </font>
    <font>
      <name val="Noto Sans CJK SC"/>
      <charset val="1"/>
      <family val="2"/>
      <b val="1"/>
      <color rgb="FFFFFFFF"/>
      <sz val="11"/>
    </font>
    <font>
      <name val="Noto Sans CJK SC"/>
      <charset val="1"/>
      <family val="2"/>
      <b val="1"/>
      <sz val="10"/>
    </font>
    <font>
      <name val="Malgun Gothic"/>
      <charset val="1"/>
      <family val="0"/>
      <sz val="10"/>
    </font>
    <font>
      <name val="Noto Sans CJK SC"/>
      <charset val="1"/>
      <family val="2"/>
      <sz val="10"/>
    </font>
    <font>
      <name val="Noto Sans CJK SC"/>
      <family val="2"/>
      <sz val="10"/>
    </font>
    <font>
      <name val="Noto Sans CJK SC"/>
      <charset val="1"/>
      <family val="2"/>
      <b val="1"/>
      <color rgb="FF9C4536"/>
      <sz val="10"/>
    </font>
    <font>
      <name val="맑은 고딕"/>
      <charset val="1"/>
      <family val="0"/>
      <b val="1"/>
      <color rgb="FF15233B"/>
      <sz val="9"/>
    </font>
    <font>
      <name val="Noto Sans CJK SC"/>
      <charset val="1"/>
      <family val="2"/>
      <b val="1"/>
      <color rgb="FF2E7D32"/>
      <sz val="9"/>
    </font>
    <font>
      <name val="Noto Sans CJK SC"/>
      <family val="2"/>
      <b val="1"/>
      <color rgb="FFB8860B"/>
      <sz val="9"/>
    </font>
    <font>
      <name val="맑은 고딕"/>
      <charset val="1"/>
      <family val="0"/>
      <b val="1"/>
      <color rgb="FF1C2531"/>
      <sz val="10.5"/>
    </font>
    <font>
      <name val="Noto Sans CJK SC"/>
      <family val="2"/>
      <b val="1"/>
      <color rgb="FF1C2531"/>
      <sz val="10.5"/>
    </font>
    <font>
      <name val="Noto Sans CJK SC"/>
      <charset val="1"/>
      <family val="2"/>
      <b val="1"/>
      <color rgb="FF15233B"/>
      <sz val="12"/>
    </font>
    <font>
      <name val="맑은 고딕"/>
      <charset val="1"/>
      <family val="0"/>
      <color rgb="FF5A6473"/>
      <sz val="9"/>
    </font>
    <font>
      <name val="Noto Sans CJK SC"/>
      <family val="2"/>
      <b val="1"/>
      <color rgb="FFFFFFFF"/>
      <sz val="11"/>
    </font>
    <font>
      <name val="맑은 고딕"/>
      <charset val="1"/>
      <family val="0"/>
      <b val="1"/>
      <color rgb="FF1C2531"/>
      <sz val="12"/>
    </font>
    <font>
      <name val="Noto Sans CJK SC"/>
      <family val="2"/>
      <b val="1"/>
      <color rgb="FFB00000"/>
      <sz val="9"/>
    </font>
    <font>
      <name val="맑은 고딕"/>
      <charset val="1"/>
      <family val="0"/>
      <b val="1"/>
      <color rgb="FFB00000"/>
      <sz val="9"/>
    </font>
    <font>
      <name val="Noto Sans CJK SC"/>
      <family val="2"/>
      <b val="1"/>
      <color rgb="FF15233B"/>
      <sz val="10"/>
    </font>
    <font>
      <name val="Noto Sans CJK SC"/>
      <family val="2"/>
      <b val="1"/>
      <color rgb="FF9C4536"/>
      <sz val="10"/>
    </font>
    <font>
      <name val="Noto Sans CJK SC"/>
      <family val="2"/>
      <b val="1"/>
      <color rgb="FF2E7D32"/>
      <sz val="9"/>
    </font>
    <font>
      <name val="맑은 고딕"/>
      <charset val="1"/>
      <family val="0"/>
      <b val="1"/>
      <color rgb="FF2E7D32"/>
      <sz val="9"/>
    </font>
    <font>
      <name val="Noto Sans CJK SC"/>
      <family val="2"/>
      <b val="1"/>
      <color rgb="FF15233B"/>
      <sz val="9"/>
    </font>
    <font>
      <name val="맑은 고딕"/>
      <charset val="1"/>
      <family val="0"/>
      <b val="1"/>
      <color rgb="FFB08A3E"/>
      <sz val="13"/>
    </font>
    <font>
      <name val="맑은 고딕"/>
      <charset val="1"/>
      <family val="0"/>
      <b val="1"/>
      <color rgb="FFFFFFFF"/>
      <sz val="14"/>
    </font>
    <font>
      <name val="맑은 고딕"/>
      <charset val="1"/>
      <family val="0"/>
      <b val="1"/>
      <color rgb="FFB08A3E"/>
      <sz val="18"/>
    </font>
    <font>
      <name val="Noto Sans CJK SC"/>
      <family val="2"/>
      <b val="1"/>
      <color rgb="FF2E7D32"/>
      <sz val="10"/>
    </font>
    <font>
      <name val="맑은 고딕"/>
      <charset val="1"/>
      <family val="0"/>
      <b val="1"/>
      <color rgb="FF2E7D32"/>
      <sz val="10"/>
    </font>
  </fonts>
  <fills count="23">
    <fill>
      <patternFill/>
    </fill>
    <fill>
      <patternFill patternType="gray125"/>
    </fill>
    <fill>
      <patternFill patternType="solid">
        <fgColor rgb="FFFBF8F0"/>
        <bgColor rgb="FFFAFBFC"/>
      </patternFill>
    </fill>
    <fill>
      <patternFill patternType="solid">
        <fgColor rgb="FFFFFF99"/>
        <bgColor rgb="FFFFF3CD"/>
      </patternFill>
    </fill>
    <fill>
      <patternFill patternType="solid">
        <fgColor rgb="FFE6F1FB"/>
        <bgColor rgb="FFE3ECF5"/>
      </patternFill>
    </fill>
    <fill>
      <patternFill patternType="solid">
        <fgColor rgb="FF15233B"/>
        <bgColor rgb="FF1C2531"/>
      </patternFill>
    </fill>
    <fill>
      <patternFill patternType="solid">
        <fgColor rgb="FFF5ECD8"/>
        <bgColor rgb="FFFBF0D9"/>
      </patternFill>
    </fill>
    <fill>
      <patternFill patternType="solid">
        <fgColor rgb="FFE2EFDA"/>
        <bgColor rgb="FFE3ECF5"/>
      </patternFill>
    </fill>
    <fill>
      <patternFill patternType="solid">
        <fgColor rgb="FFFAFBFC"/>
        <bgColor rgb="FFFFFFFF"/>
      </patternFill>
    </fill>
    <fill>
      <patternFill patternType="solid">
        <fgColor rgb="FFFFF8E1"/>
        <bgColor rgb="FFFBF8F0"/>
      </patternFill>
    </fill>
    <fill>
      <patternFill patternType="solid">
        <fgColor rgb="FFFFFFFF"/>
        <bgColor rgb="FFFAFBFC"/>
      </patternFill>
    </fill>
    <fill>
      <patternFill patternType="solid">
        <fgColor rgb="FFE3ECF5"/>
        <bgColor rgb="FFDEEAF6"/>
      </patternFill>
    </fill>
    <fill>
      <patternFill patternType="solid">
        <fgColor rgb="FFFFF3CD"/>
        <bgColor rgb="FFFFF2CC"/>
      </patternFill>
    </fill>
    <fill>
      <patternFill patternType="solid">
        <fgColor rgb="FFFCE9D6"/>
        <bgColor rgb="FFF5ECD8"/>
      </patternFill>
    </fill>
    <fill>
      <patternFill patternType="solid">
        <fgColor rgb="FFF2F4F7"/>
        <bgColor rgb="FFF2F2F2"/>
      </patternFill>
    </fill>
    <fill>
      <patternFill patternType="solid">
        <fgColor rgb="FFFCE4E4"/>
        <bgColor rgb="FFFCE9D6"/>
      </patternFill>
    </fill>
    <fill>
      <patternFill patternType="solid">
        <fgColor rgb="FFEAE3F2"/>
        <bgColor rgb="FFE3ECF5"/>
      </patternFill>
    </fill>
    <fill>
      <patternFill patternType="solid">
        <fgColor rgb="FFFFF2CC"/>
        <bgColor rgb="FFFFF3CD"/>
      </patternFill>
    </fill>
    <fill>
      <patternFill patternType="solid">
        <fgColor rgb="FFF2F2F2"/>
        <bgColor rgb="FFF2F4F7"/>
      </patternFill>
    </fill>
    <fill>
      <patternFill patternType="solid">
        <fgColor rgb="FFFBF0D9"/>
        <bgColor rgb="FFF5ECD8"/>
      </patternFill>
    </fill>
    <fill>
      <patternFill patternType="solid">
        <fgColor rgb="FF1B365D"/>
        <bgColor rgb="FF15233B"/>
      </patternFill>
    </fill>
    <fill>
      <patternFill patternType="solid">
        <fgColor rgb="FFDEEAF6"/>
        <bgColor rgb="FFE3ECF5"/>
      </patternFill>
    </fill>
    <fill>
      <patternFill patternType="solid">
        <fgColor rgb="FFFFE066"/>
        <bgColor rgb="FFFFFF99"/>
      </patternFill>
    </fill>
  </fills>
  <borders count="1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8CFD8"/>
      </left>
      <right style="thin">
        <color rgb="FFC8CFD8"/>
      </right>
      <top style="thin">
        <color rgb="FFC8CFD8"/>
      </top>
      <bottom style="thin">
        <color rgb="FFC8CFD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5233B"/>
      </left>
      <right style="medium">
        <color rgb="FF15233B"/>
      </right>
      <top style="medium">
        <color rgb="FF15233B"/>
      </top>
      <bottom style="medium">
        <color rgb="FF15233B"/>
      </bottom>
      <diagonal/>
    </border>
    <border>
      <left style="thick">
        <color rgb="FFB08A3E"/>
      </left>
      <right style="thick">
        <color rgb="FFB08A3E"/>
      </right>
      <top style="thick">
        <color rgb="FFB08A3E"/>
      </top>
      <bottom style="thick">
        <color rgb="FFB08A3E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C8CFD8"/>
      </top>
      <bottom/>
      <diagonal/>
    </border>
    <border>
      <left/>
      <right style="thin">
        <color rgb="FFC8CFD8"/>
      </right>
      <top style="thin">
        <color rgb="FFC8CFD8"/>
      </top>
      <bottom/>
      <diagonal/>
    </border>
    <border>
      <left/>
      <right/>
      <top style="thin">
        <color rgb="FFC8CFD8"/>
      </top>
      <bottom style="thin">
        <color rgb="FFC8CFD8"/>
      </bottom>
      <diagonal/>
    </border>
    <border>
      <left/>
      <right style="thin">
        <color rgb="FFC8CFD8"/>
      </right>
      <top style="thin">
        <color rgb="FFC8CFD8"/>
      </top>
      <bottom style="thin">
        <color rgb="FFC8CFD8"/>
      </bottom>
      <diagonal/>
    </border>
    <border>
      <left/>
      <right/>
      <top style="medium">
        <color rgb="FF15233B"/>
      </top>
      <bottom/>
      <diagonal/>
    </border>
    <border>
      <left/>
      <right style="medium">
        <color rgb="FF15233B"/>
      </right>
      <top style="medium">
        <color rgb="FF15233B"/>
      </top>
      <bottom/>
      <diagonal/>
    </border>
    <border>
      <left/>
      <right style="medium">
        <color rgb="FF15233B"/>
      </right>
      <top style="medium">
        <color rgb="FF15233B"/>
      </top>
      <bottom style="medium">
        <color rgb="FF15233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8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general" vertical="bottom"/>
    </xf>
    <xf numFmtId="0" fontId="13" fillId="3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general" vertical="bottom"/>
    </xf>
    <xf numFmtId="0" fontId="16" fillId="0" borderId="1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general" vertical="bottom"/>
    </xf>
    <xf numFmtId="0" fontId="19" fillId="2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general" vertical="bottom"/>
    </xf>
    <xf numFmtId="0" fontId="22" fillId="0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24" fillId="2" borderId="1" applyAlignment="1" pivotButton="0" quotePrefix="0" xfId="0">
      <alignment horizontal="general" vertical="bottom"/>
    </xf>
    <xf numFmtId="0" fontId="19" fillId="0" borderId="1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28" fillId="5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general" vertical="bottom"/>
    </xf>
    <xf numFmtId="0" fontId="29" fillId="3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center" vertical="center"/>
    </xf>
    <xf numFmtId="0" fontId="31" fillId="0" borderId="1" applyAlignment="1" pivotButton="0" quotePrefix="0" xfId="0">
      <alignment horizontal="general" vertical="bottom"/>
    </xf>
    <xf numFmtId="0" fontId="22" fillId="0" borderId="1" applyAlignment="1" pivotButton="0" quotePrefix="0" xfId="0">
      <alignment horizontal="general" vertical="bottom"/>
    </xf>
    <xf numFmtId="0" fontId="32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 vertical="center" wrapText="1"/>
    </xf>
    <xf numFmtId="0" fontId="35" fillId="6" borderId="0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 wrapText="1"/>
    </xf>
    <xf numFmtId="0" fontId="32" fillId="5" borderId="2" applyAlignment="1" pivotButton="0" quotePrefix="0" xfId="0">
      <alignment horizontal="center" vertical="center" wrapText="1"/>
    </xf>
    <xf numFmtId="0" fontId="28" fillId="5" borderId="2" applyAlignment="1" pivotButton="0" quotePrefix="0" xfId="0">
      <alignment horizontal="center" vertical="center" wrapText="1"/>
    </xf>
    <xf numFmtId="0" fontId="37" fillId="7" borderId="2" applyAlignment="1" pivotButton="0" quotePrefix="0" xfId="0">
      <alignment horizontal="center" vertical="center" wrapText="1"/>
    </xf>
    <xf numFmtId="0" fontId="16" fillId="8" borderId="2" applyAlignment="1" pivotButton="0" quotePrefix="0" xfId="0">
      <alignment horizontal="center" vertical="center" wrapText="1"/>
    </xf>
    <xf numFmtId="0" fontId="16" fillId="8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center" vertical="center"/>
    </xf>
    <xf numFmtId="0" fontId="38" fillId="9" borderId="2" applyAlignment="1" pivotButton="0" quotePrefix="0" xfId="0">
      <alignment horizontal="center" vertical="center"/>
    </xf>
    <xf numFmtId="0" fontId="16" fillId="10" borderId="2" applyAlignment="1" pivotButton="0" quotePrefix="0" xfId="0">
      <alignment horizontal="center" vertical="center" wrapText="1"/>
    </xf>
    <xf numFmtId="0" fontId="16" fillId="10" borderId="2" applyAlignment="1" pivotButton="0" quotePrefix="0" xfId="0">
      <alignment horizontal="left" vertical="center" wrapText="1"/>
    </xf>
    <xf numFmtId="0" fontId="8" fillId="11" borderId="2" applyAlignment="1" pivotButton="0" quotePrefix="0" xfId="0">
      <alignment horizontal="center" vertical="center"/>
    </xf>
    <xf numFmtId="0" fontId="39" fillId="6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center" vertical="center"/>
    </xf>
    <xf numFmtId="0" fontId="8" fillId="13" borderId="2" applyAlignment="1" pivotButton="0" quotePrefix="0" xfId="0">
      <alignment horizontal="center" vertical="center"/>
    </xf>
    <xf numFmtId="0" fontId="37" fillId="11" borderId="2" applyAlignment="1" pivotButton="0" quotePrefix="0" xfId="0">
      <alignment horizontal="center" vertical="center" wrapText="1"/>
    </xf>
    <xf numFmtId="0" fontId="37" fillId="13" borderId="2" applyAlignment="1" pivotButton="0" quotePrefix="0" xfId="0">
      <alignment horizontal="center" vertical="center" wrapText="1"/>
    </xf>
    <xf numFmtId="0" fontId="39" fillId="0" borderId="0" applyAlignment="1" pivotButton="0" quotePrefix="0" xfId="0">
      <alignment horizontal="left" vertical="center" wrapText="1"/>
    </xf>
    <xf numFmtId="0" fontId="21" fillId="14" borderId="2" applyAlignment="1" pivotButton="0" quotePrefix="0" xfId="0">
      <alignment horizontal="left" vertical="center" wrapText="1"/>
    </xf>
    <xf numFmtId="0" fontId="16" fillId="6" borderId="2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left" vertical="center" wrapText="1"/>
    </xf>
    <xf numFmtId="0" fontId="37" fillId="14" borderId="2" applyAlignment="1" pivotButton="0" quotePrefix="0" xfId="0">
      <alignment horizontal="left" vertical="center" wrapText="1"/>
    </xf>
    <xf numFmtId="0" fontId="16" fillId="7" borderId="2" applyAlignment="1" pivotButton="0" quotePrefix="0" xfId="0">
      <alignment horizontal="center" vertical="center" wrapText="1"/>
    </xf>
    <xf numFmtId="0" fontId="22" fillId="0" borderId="2" applyAlignment="1" pivotButton="0" quotePrefix="0" xfId="0">
      <alignment horizontal="left" vertical="center" wrapText="1"/>
    </xf>
    <xf numFmtId="0" fontId="16" fillId="15" borderId="2" applyAlignment="1" pivotButton="0" quotePrefix="0" xfId="0">
      <alignment horizontal="center" vertical="center" wrapText="1"/>
    </xf>
    <xf numFmtId="0" fontId="22" fillId="0" borderId="2" applyAlignment="1" pivotButton="0" quotePrefix="0" xfId="0">
      <alignment horizontal="center" vertical="center" wrapText="1"/>
    </xf>
    <xf numFmtId="0" fontId="22" fillId="6" borderId="2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left" vertical="center" wrapText="1"/>
    </xf>
    <xf numFmtId="0" fontId="44" fillId="0" borderId="0" applyAlignment="1" pivotButton="0" quotePrefix="0" xfId="0">
      <alignment horizontal="left" vertical="center" wrapText="1"/>
    </xf>
    <xf numFmtId="0" fontId="46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0" fontId="48" fillId="5" borderId="2" applyAlignment="1" pivotButton="0" quotePrefix="0" xfId="0">
      <alignment horizontal="center" vertical="center" wrapText="1"/>
    </xf>
    <xf numFmtId="0" fontId="27" fillId="6" borderId="2" applyAlignment="1" pivotButton="0" quotePrefix="0" xfId="0">
      <alignment horizontal="center" vertical="center" wrapText="1"/>
    </xf>
    <xf numFmtId="0" fontId="50" fillId="0" borderId="2" applyAlignment="1" pivotButton="0" quotePrefix="0" xfId="0">
      <alignment horizontal="center" vertical="center" wrapText="1"/>
    </xf>
    <xf numFmtId="0" fontId="42" fillId="13" borderId="2" applyAlignment="1" pivotButton="0" quotePrefix="0" xfId="0">
      <alignment horizontal="left" vertical="center" wrapText="1"/>
    </xf>
    <xf numFmtId="0" fontId="51" fillId="7" borderId="2" applyAlignment="1" pivotButton="0" quotePrefix="0" xfId="0">
      <alignment horizontal="center" vertical="center" wrapText="1"/>
    </xf>
    <xf numFmtId="0" fontId="51" fillId="15" borderId="2" applyAlignment="1" pivotButton="0" quotePrefix="0" xfId="0">
      <alignment horizontal="center" vertical="center" wrapText="1"/>
    </xf>
    <xf numFmtId="0" fontId="52" fillId="0" borderId="2" applyAlignment="1" pivotButton="0" quotePrefix="0" xfId="0">
      <alignment horizontal="left" vertical="center" wrapText="1"/>
    </xf>
    <xf numFmtId="0" fontId="42" fillId="0" borderId="2" applyAlignment="1" pivotButton="0" quotePrefix="0" xfId="0">
      <alignment horizontal="left" vertical="center" wrapText="1"/>
    </xf>
    <xf numFmtId="0" fontId="51" fillId="11" borderId="2" applyAlignment="1" pivotButton="0" quotePrefix="0" xfId="0">
      <alignment horizontal="center" vertical="center" wrapText="1"/>
    </xf>
    <xf numFmtId="0" fontId="42" fillId="11" borderId="2" applyAlignment="1" pivotButton="0" quotePrefix="0" xfId="0">
      <alignment horizontal="left" vertical="center" wrapText="1"/>
    </xf>
    <xf numFmtId="0" fontId="12" fillId="16" borderId="2" applyAlignment="1" pivotButton="0" quotePrefix="0" xfId="0">
      <alignment horizontal="center" vertical="center" wrapText="1"/>
    </xf>
    <xf numFmtId="0" fontId="53" fillId="0" borderId="2" applyAlignment="1" pivotButton="0" quotePrefix="0" xfId="0">
      <alignment horizontal="left" vertical="center" wrapText="1"/>
    </xf>
    <xf numFmtId="0" fontId="38" fillId="13" borderId="2" applyAlignment="1" pivotButton="0" quotePrefix="0" xfId="0">
      <alignment horizontal="center" vertical="center" wrapText="1"/>
    </xf>
    <xf numFmtId="0" fontId="38" fillId="11" borderId="2" applyAlignment="1" pivotButton="0" quotePrefix="0" xfId="0">
      <alignment horizontal="center" vertical="center" wrapText="1"/>
    </xf>
    <xf numFmtId="0" fontId="38" fillId="0" borderId="2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left" vertical="center" wrapText="1"/>
    </xf>
    <xf numFmtId="0" fontId="53" fillId="14" borderId="2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54" fillId="14" borderId="2" applyAlignment="1" pivotButton="0" quotePrefix="0" xfId="0">
      <alignment horizontal="left" vertical="center" wrapText="1"/>
    </xf>
    <xf numFmtId="0" fontId="14" fillId="6" borderId="2" applyAlignment="1" pivotButton="0" quotePrefix="0" xfId="0">
      <alignment horizontal="center" vertical="center" wrapText="1"/>
    </xf>
    <xf numFmtId="0" fontId="12" fillId="14" borderId="2" applyAlignment="1" pivotButton="0" quotePrefix="0" xfId="0">
      <alignment horizontal="left" vertical="center" wrapText="1"/>
    </xf>
    <xf numFmtId="0" fontId="55" fillId="6" borderId="2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left" vertical="center" wrapText="1"/>
    </xf>
    <xf numFmtId="0" fontId="56" fillId="0" borderId="2" applyAlignment="1" pivotButton="0" quotePrefix="0" xfId="0">
      <alignment horizontal="center" vertical="center" wrapText="1"/>
    </xf>
    <xf numFmtId="0" fontId="35" fillId="0" borderId="2" applyAlignment="1" pivotButton="0" quotePrefix="0" xfId="0">
      <alignment horizontal="center" vertical="center" wrapText="1"/>
    </xf>
    <xf numFmtId="0" fontId="56" fillId="13" borderId="2" applyAlignment="1" pivotButton="0" quotePrefix="0" xfId="0">
      <alignment horizontal="center" vertical="center" wrapText="1"/>
    </xf>
    <xf numFmtId="0" fontId="56" fillId="6" borderId="2" applyAlignment="1" pivotButton="0" quotePrefix="0" xfId="0">
      <alignment horizontal="center" vertical="center" wrapText="1"/>
    </xf>
    <xf numFmtId="0" fontId="35" fillId="6" borderId="2" applyAlignment="1" pivotButton="0" quotePrefix="0" xfId="0">
      <alignment horizontal="center" vertical="center" wrapText="1"/>
    </xf>
    <xf numFmtId="0" fontId="58" fillId="0" borderId="0" applyAlignment="1" pivotButton="0" quotePrefix="0" xfId="0">
      <alignment horizontal="left" vertical="center" wrapText="1"/>
    </xf>
    <xf numFmtId="0" fontId="55" fillId="0" borderId="0" applyAlignment="1" pivotButton="0" quotePrefix="0" xfId="0">
      <alignment horizontal="left" vertical="center" wrapText="1"/>
    </xf>
    <xf numFmtId="0" fontId="60" fillId="0" borderId="0" applyAlignment="1" pivotButton="0" quotePrefix="0" xfId="0">
      <alignment horizontal="left" vertical="center" wrapText="1"/>
    </xf>
    <xf numFmtId="0" fontId="61" fillId="5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14" fillId="7" borderId="2" applyAlignment="1" pivotButton="0" quotePrefix="0" xfId="0">
      <alignment horizontal="center" vertical="center" wrapText="1"/>
    </xf>
    <xf numFmtId="0" fontId="62" fillId="0" borderId="2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center" vertical="center" wrapText="1"/>
    </xf>
    <xf numFmtId="0" fontId="14" fillId="11" borderId="2" applyAlignment="1" pivotButton="0" quotePrefix="0" xfId="0">
      <alignment horizontal="center" vertical="center" wrapText="1"/>
    </xf>
    <xf numFmtId="0" fontId="8" fillId="13" borderId="2" applyAlignment="1" pivotButton="0" quotePrefix="0" xfId="0">
      <alignment horizontal="center" vertical="center" wrapText="1"/>
    </xf>
    <xf numFmtId="0" fontId="14" fillId="13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63" fillId="0" borderId="0" applyAlignment="1" pivotButton="0" quotePrefix="0" xfId="0">
      <alignment horizontal="left" vertical="center" wrapText="1"/>
    </xf>
    <xf numFmtId="0" fontId="64" fillId="0" borderId="0" applyAlignment="1" pivotButton="0" quotePrefix="0" xfId="0">
      <alignment horizontal="general" vertical="bottom"/>
    </xf>
    <xf numFmtId="0" fontId="66" fillId="0" borderId="0" applyAlignment="1" pivotButton="0" quotePrefix="0" xfId="0">
      <alignment horizontal="general" vertical="bottom"/>
    </xf>
    <xf numFmtId="0" fontId="68" fillId="0" borderId="0" applyAlignment="1" pivotButton="0" quotePrefix="0" xfId="0">
      <alignment horizontal="general" vertical="bottom"/>
    </xf>
    <xf numFmtId="0" fontId="37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left" vertical="top" wrapText="1"/>
    </xf>
    <xf numFmtId="0" fontId="22" fillId="0" borderId="1" applyAlignment="1" pivotButton="0" quotePrefix="0" xfId="0">
      <alignment horizontal="left" vertical="top" wrapText="1"/>
    </xf>
    <xf numFmtId="0" fontId="30" fillId="0" borderId="0" applyAlignment="1" pivotButton="0" quotePrefix="0" xfId="0">
      <alignment horizontal="general" vertical="bottom"/>
    </xf>
    <xf numFmtId="0" fontId="70" fillId="5" borderId="1" applyAlignment="1" pivotButton="0" quotePrefix="0" xfId="0">
      <alignment horizontal="center" vertical="center" wrapText="1"/>
    </xf>
    <xf numFmtId="0" fontId="70" fillId="5" borderId="1" applyAlignment="1" pivotButton="0" quotePrefix="0" xfId="0">
      <alignment horizontal="center" vertical="center"/>
    </xf>
    <xf numFmtId="0" fontId="71" fillId="0" borderId="1" applyAlignment="1" pivotButton="0" quotePrefix="0" xfId="0">
      <alignment horizontal="center" vertical="center"/>
    </xf>
    <xf numFmtId="0" fontId="72" fillId="0" borderId="1" applyAlignment="1" pivotButton="0" quotePrefix="0" xfId="0">
      <alignment horizontal="center" vertical="center"/>
    </xf>
    <xf numFmtId="0" fontId="73" fillId="0" borderId="1" applyAlignment="1" pivotButton="0" quotePrefix="0" xfId="0">
      <alignment horizontal="center" vertical="center"/>
    </xf>
    <xf numFmtId="0" fontId="73" fillId="0" borderId="1" applyAlignment="1" pivotButton="0" quotePrefix="0" xfId="0">
      <alignment horizontal="left" vertical="top" wrapText="1"/>
    </xf>
    <xf numFmtId="164" fontId="74" fillId="0" borderId="1" applyAlignment="1" pivotButton="0" quotePrefix="0" xfId="0">
      <alignment horizontal="center" vertical="center"/>
    </xf>
    <xf numFmtId="0" fontId="75" fillId="0" borderId="0" applyAlignment="1" pivotButton="0" quotePrefix="0" xfId="0">
      <alignment horizontal="general" vertical="bottom"/>
    </xf>
    <xf numFmtId="0" fontId="76" fillId="0" borderId="0" applyAlignment="1" pivotButton="0" quotePrefix="0" xfId="0">
      <alignment horizontal="general" vertical="bottom"/>
    </xf>
    <xf numFmtId="0" fontId="21" fillId="0" borderId="1" applyAlignment="1" pivotButton="0" quotePrefix="0" xfId="0">
      <alignment horizontal="general" vertical="bottom"/>
    </xf>
    <xf numFmtId="0" fontId="77" fillId="0" borderId="1" applyAlignment="1" pivotButton="0" quotePrefix="0" xfId="0">
      <alignment horizontal="center" vertical="center"/>
    </xf>
    <xf numFmtId="0" fontId="78" fillId="0" borderId="1" applyAlignment="1" pivotButton="0" quotePrefix="0" xfId="0">
      <alignment horizontal="general" vertical="bottom"/>
    </xf>
    <xf numFmtId="0" fontId="80" fillId="0" borderId="1" applyAlignment="1" pivotButton="0" quotePrefix="0" xfId="0">
      <alignment horizontal="general" vertical="bottom"/>
    </xf>
    <xf numFmtId="0" fontId="16" fillId="0" borderId="1" applyAlignment="1" pivotButton="0" quotePrefix="0" xfId="0">
      <alignment horizontal="center" vertical="center"/>
    </xf>
    <xf numFmtId="0" fontId="81" fillId="17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83" fillId="0" borderId="0" applyAlignment="1" pivotButton="0" quotePrefix="0" xfId="0">
      <alignment horizontal="general" vertical="top" wrapText="1"/>
    </xf>
    <xf numFmtId="0" fontId="84" fillId="18" borderId="1" applyAlignment="1" pivotButton="0" quotePrefix="0" xfId="0">
      <alignment horizontal="center" vertical="center"/>
    </xf>
    <xf numFmtId="0" fontId="85" fillId="0" borderId="1" applyAlignment="1" pivotButton="0" quotePrefix="0" xfId="0">
      <alignment horizontal="general" vertical="top" wrapText="1"/>
    </xf>
    <xf numFmtId="0" fontId="85" fillId="19" borderId="1" applyAlignment="1" pivotButton="0" quotePrefix="0" xfId="0">
      <alignment horizontal="general" vertical="top" wrapText="1"/>
    </xf>
    <xf numFmtId="0" fontId="86" fillId="0" borderId="1" applyAlignment="1" pivotButton="0" quotePrefix="0" xfId="0">
      <alignment horizontal="general" vertical="top" wrapText="1"/>
    </xf>
    <xf numFmtId="0" fontId="86" fillId="19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88" fillId="7" borderId="0" applyAlignment="1" pivotButton="0" quotePrefix="0" xfId="0">
      <alignment horizontal="general" vertical="top" wrapText="1"/>
    </xf>
    <xf numFmtId="0" fontId="89" fillId="0" borderId="0" applyAlignment="1" pivotButton="0" quotePrefix="0" xfId="0">
      <alignment horizontal="general" vertical="bottom"/>
    </xf>
    <xf numFmtId="0" fontId="91" fillId="20" borderId="0" applyAlignment="1" pivotButton="0" quotePrefix="0" xfId="0">
      <alignment horizontal="center" vertical="center"/>
    </xf>
    <xf numFmtId="0" fontId="92" fillId="0" borderId="3" applyAlignment="1" pivotButton="0" quotePrefix="0" xfId="0">
      <alignment horizontal="center" vertical="center" wrapText="1"/>
    </xf>
    <xf numFmtId="0" fontId="93" fillId="0" borderId="3" applyAlignment="1" pivotButton="0" quotePrefix="0" xfId="0">
      <alignment horizontal="center" vertical="center" wrapText="1"/>
    </xf>
    <xf numFmtId="0" fontId="94" fillId="0" borderId="3" applyAlignment="1" pivotButton="0" quotePrefix="0" xfId="0">
      <alignment horizontal="left" vertical="center" wrapText="1"/>
    </xf>
    <xf numFmtId="0" fontId="93" fillId="0" borderId="3" applyAlignment="1" pivotButton="0" quotePrefix="0" xfId="0">
      <alignment horizontal="left" vertical="center" wrapText="1"/>
    </xf>
    <xf numFmtId="0" fontId="94" fillId="0" borderId="3" applyAlignment="1" pivotButton="0" quotePrefix="0" xfId="0">
      <alignment horizontal="center" vertical="center" wrapText="1"/>
    </xf>
    <xf numFmtId="0" fontId="96" fillId="15" borderId="2" applyAlignment="1" pivotButton="0" quotePrefix="0" xfId="0">
      <alignment horizontal="left" vertical="center" wrapText="1"/>
    </xf>
    <xf numFmtId="0" fontId="63" fillId="7" borderId="2" applyAlignment="1" pivotButton="0" quotePrefix="0" xfId="0">
      <alignment horizontal="left" vertical="center" wrapText="1"/>
    </xf>
    <xf numFmtId="0" fontId="97" fillId="0" borderId="2" applyAlignment="1" pivotButton="0" quotePrefix="0" xfId="0">
      <alignment horizontal="center" vertical="center" wrapText="1"/>
    </xf>
    <xf numFmtId="0" fontId="8" fillId="15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left" vertical="center" wrapText="1"/>
    </xf>
    <xf numFmtId="0" fontId="98" fillId="0" borderId="0" applyAlignment="1" pivotButton="0" quotePrefix="0" xfId="0">
      <alignment horizontal="left" vertical="center" wrapText="1"/>
    </xf>
    <xf numFmtId="0" fontId="77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83" fillId="0" borderId="0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top" wrapText="1"/>
    </xf>
    <xf numFmtId="0" fontId="8" fillId="17" borderId="0" applyAlignment="1" pivotButton="0" quotePrefix="0" xfId="0">
      <alignment horizontal="general" vertical="top" wrapText="1"/>
    </xf>
    <xf numFmtId="0" fontId="31" fillId="0" borderId="1" applyAlignment="1" pivotButton="0" quotePrefix="0" xfId="0">
      <alignment horizontal="general" vertical="top" wrapText="1"/>
    </xf>
    <xf numFmtId="0" fontId="38" fillId="21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83" fillId="7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38" fillId="0" borderId="1" applyAlignment="1" pivotButton="0" quotePrefix="0" xfId="0">
      <alignment horizontal="general" vertical="top" wrapText="1"/>
    </xf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100" fillId="18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11" fillId="17" borderId="0" applyAlignment="1" pivotButton="0" quotePrefix="0" xfId="0">
      <alignment horizontal="general" vertical="top" wrapText="1"/>
    </xf>
    <xf numFmtId="0" fontId="31" fillId="0" borderId="0" applyAlignment="1" pivotButton="0" quotePrefix="0" xfId="0">
      <alignment horizontal="general" vertical="top" wrapText="1"/>
    </xf>
    <xf numFmtId="0" fontId="31" fillId="0" borderId="0" applyAlignment="1" pivotButton="0" quotePrefix="0" xfId="0">
      <alignment horizontal="general" vertical="top" wrapText="1"/>
    </xf>
    <xf numFmtId="0" fontId="102" fillId="0" borderId="0" applyAlignment="1" pivotButton="0" quotePrefix="0" xfId="0">
      <alignment horizontal="general" vertical="bottom"/>
    </xf>
    <xf numFmtId="0" fontId="4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4" fillId="13" borderId="2" applyAlignment="1" pivotButton="0" quotePrefix="0" xfId="0">
      <alignment horizontal="left" vertical="center" wrapText="1"/>
    </xf>
    <xf numFmtId="0" fontId="54" fillId="11" borderId="2" applyAlignment="1" pivotButton="0" quotePrefix="0" xfId="0">
      <alignment horizontal="left" vertical="center" wrapText="1"/>
    </xf>
    <xf numFmtId="0" fontId="54" fillId="7" borderId="2" applyAlignment="1" pivotButton="0" quotePrefix="0" xfId="0">
      <alignment horizontal="left" vertical="center" wrapText="1"/>
    </xf>
    <xf numFmtId="0" fontId="104" fillId="5" borderId="6" applyAlignment="1" pivotButton="0" quotePrefix="0" xfId="0">
      <alignment horizontal="center" vertical="center" wrapText="1"/>
    </xf>
    <xf numFmtId="0" fontId="105" fillId="14" borderId="6" applyAlignment="1" pivotButton="0" quotePrefix="0" xfId="0">
      <alignment horizontal="center" vertical="center" wrapText="1"/>
    </xf>
    <xf numFmtId="0" fontId="106" fillId="0" borderId="2" applyAlignment="1" pivotButton="0" quotePrefix="0" xfId="0">
      <alignment horizontal="left" vertical="center" wrapText="1"/>
    </xf>
    <xf numFmtId="0" fontId="105" fillId="22" borderId="7" applyAlignment="1" pivotButton="0" quotePrefix="0" xfId="0">
      <alignment horizontal="center" vertical="center" wrapText="1"/>
    </xf>
    <xf numFmtId="0" fontId="108" fillId="0" borderId="2" applyAlignment="1" pivotButton="0" quotePrefix="0" xfId="0">
      <alignment horizontal="center" vertical="center" wrapText="1"/>
    </xf>
    <xf numFmtId="0" fontId="109" fillId="15" borderId="2" applyAlignment="1" pivotButton="0" quotePrefix="0" xfId="0">
      <alignment horizontal="center" vertical="center" wrapText="1"/>
    </xf>
    <xf numFmtId="0" fontId="110" fillId="0" borderId="0" applyAlignment="1" pivotButton="0" quotePrefix="0" xfId="0">
      <alignment horizontal="left" vertical="center" wrapText="1"/>
    </xf>
    <xf numFmtId="0" fontId="108" fillId="0" borderId="0" applyAlignment="1" pivotButton="0" quotePrefix="0" xfId="0">
      <alignment horizontal="left" vertical="center" wrapText="1"/>
    </xf>
    <xf numFmtId="0" fontId="112" fillId="6" borderId="2" applyAlignment="1" pivotButton="0" quotePrefix="0" xfId="0">
      <alignment horizontal="center" vertical="center" wrapText="1"/>
    </xf>
    <xf numFmtId="0" fontId="47" fillId="0" borderId="2" applyAlignment="1" pivotButton="0" quotePrefix="0" xfId="0">
      <alignment horizontal="center" vertical="center" wrapText="1"/>
    </xf>
    <xf numFmtId="0" fontId="14" fillId="6" borderId="6" applyAlignment="1" pivotButton="0" quotePrefix="0" xfId="0">
      <alignment horizontal="center" vertical="center" wrapText="1"/>
    </xf>
    <xf numFmtId="0" fontId="113" fillId="6" borderId="2" applyAlignment="1" pivotButton="0" quotePrefix="0" xfId="0">
      <alignment horizontal="center" vertical="center" wrapText="1"/>
    </xf>
    <xf numFmtId="0" fontId="64" fillId="0" borderId="2" applyAlignment="1" pivotButton="0" quotePrefix="0" xfId="0">
      <alignment horizontal="center" vertical="center" wrapText="1"/>
    </xf>
    <xf numFmtId="0" fontId="114" fillId="5" borderId="6" applyAlignment="1" pivotButton="0" quotePrefix="0" xfId="0">
      <alignment horizontal="center" vertical="center" wrapText="1"/>
    </xf>
    <xf numFmtId="0" fontId="115" fillId="6" borderId="6" applyAlignment="1" pivotButton="0" quotePrefix="0" xfId="0">
      <alignment horizontal="center" vertical="center" wrapText="1"/>
    </xf>
    <xf numFmtId="0" fontId="116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general" vertical="bottom"/>
    </xf>
    <xf numFmtId="0" fontId="13" fillId="3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general" vertical="bottom"/>
    </xf>
    <xf numFmtId="0" fontId="16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7" fillId="0" borderId="0" applyAlignment="1" pivotButton="0" quotePrefix="0" xfId="0">
      <alignment horizontal="general" vertical="bottom"/>
    </xf>
    <xf numFmtId="0" fontId="19" fillId="2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general" vertical="bottom"/>
    </xf>
    <xf numFmtId="0" fontId="22" fillId="0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24" fillId="2" borderId="1" applyAlignment="1" pivotButton="0" quotePrefix="0" xfId="0">
      <alignment horizontal="general" vertical="bottom"/>
    </xf>
    <xf numFmtId="0" fontId="19" fillId="0" borderId="1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28" fillId="5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general" vertical="bottom"/>
    </xf>
    <xf numFmtId="0" fontId="29" fillId="3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center" vertical="center"/>
    </xf>
    <xf numFmtId="0" fontId="31" fillId="0" borderId="1" applyAlignment="1" pivotButton="0" quotePrefix="0" xfId="0">
      <alignment horizontal="general" vertical="bottom"/>
    </xf>
    <xf numFmtId="0" fontId="22" fillId="0" borderId="1" applyAlignment="1" pivotButton="0" quotePrefix="0" xfId="0">
      <alignment horizontal="general" vertical="bottom"/>
    </xf>
    <xf numFmtId="0" fontId="32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 vertical="center" wrapText="1"/>
    </xf>
    <xf numFmtId="0" fontId="35" fillId="6" borderId="0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 wrapText="1"/>
    </xf>
    <xf numFmtId="0" fontId="32" fillId="5" borderId="2" applyAlignment="1" pivotButton="0" quotePrefix="0" xfId="0">
      <alignment horizontal="center" vertical="center" wrapText="1"/>
    </xf>
    <xf numFmtId="0" fontId="28" fillId="5" borderId="2" applyAlignment="1" pivotButton="0" quotePrefix="0" xfId="0">
      <alignment horizontal="center" vertical="center" wrapText="1"/>
    </xf>
    <xf numFmtId="0" fontId="37" fillId="7" borderId="2" applyAlignment="1" pivotButton="0" quotePrefix="0" xfId="0">
      <alignment horizontal="center" vertical="center" wrapText="1"/>
    </xf>
    <xf numFmtId="0" fontId="16" fillId="8" borderId="2" applyAlignment="1" pivotButton="0" quotePrefix="0" xfId="0">
      <alignment horizontal="center" vertical="center" wrapText="1"/>
    </xf>
    <xf numFmtId="0" fontId="16" fillId="8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center" vertical="center"/>
    </xf>
    <xf numFmtId="0" fontId="38" fillId="9" borderId="2" applyAlignment="1" pivotButton="0" quotePrefix="0" xfId="0">
      <alignment horizontal="center" vertical="center"/>
    </xf>
    <xf numFmtId="0" fontId="16" fillId="10" borderId="2" applyAlignment="1" pivotButton="0" quotePrefix="0" xfId="0">
      <alignment horizontal="center" vertical="center" wrapText="1"/>
    </xf>
    <xf numFmtId="0" fontId="16" fillId="10" borderId="2" applyAlignment="1" pivotButton="0" quotePrefix="0" xfId="0">
      <alignment horizontal="left" vertical="center" wrapText="1"/>
    </xf>
    <xf numFmtId="0" fontId="8" fillId="11" borderId="2" applyAlignment="1" pivotButton="0" quotePrefix="0" xfId="0">
      <alignment horizontal="center" vertical="center"/>
    </xf>
    <xf numFmtId="0" fontId="39" fillId="6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center" vertical="center"/>
    </xf>
    <xf numFmtId="0" fontId="8" fillId="13" borderId="2" applyAlignment="1" pivotButton="0" quotePrefix="0" xfId="0">
      <alignment horizontal="center" vertical="center"/>
    </xf>
    <xf numFmtId="0" fontId="37" fillId="11" borderId="2" applyAlignment="1" pivotButton="0" quotePrefix="0" xfId="0">
      <alignment horizontal="center" vertical="center" wrapText="1"/>
    </xf>
    <xf numFmtId="0" fontId="37" fillId="13" borderId="2" applyAlignment="1" pivotButton="0" quotePrefix="0" xfId="0">
      <alignment horizontal="center" vertical="center" wrapText="1"/>
    </xf>
    <xf numFmtId="0" fontId="39" fillId="0" borderId="0" applyAlignment="1" pivotButton="0" quotePrefix="0" xfId="0">
      <alignment horizontal="left" vertical="center" wrapText="1"/>
    </xf>
    <xf numFmtId="0" fontId="21" fillId="14" borderId="2" applyAlignment="1" pivotButton="0" quotePrefix="0" xfId="0">
      <alignment horizontal="left" vertical="center" wrapText="1"/>
    </xf>
    <xf numFmtId="0" fontId="16" fillId="6" borderId="2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left" vertical="center" wrapText="1"/>
    </xf>
    <xf numFmtId="0" fontId="37" fillId="14" borderId="2" applyAlignment="1" pivotButton="0" quotePrefix="0" xfId="0">
      <alignment horizontal="left" vertical="center" wrapText="1"/>
    </xf>
    <xf numFmtId="0" fontId="16" fillId="7" borderId="2" applyAlignment="1" pivotButton="0" quotePrefix="0" xfId="0">
      <alignment horizontal="center" vertical="center" wrapText="1"/>
    </xf>
    <xf numFmtId="0" fontId="22" fillId="0" borderId="2" applyAlignment="1" pivotButton="0" quotePrefix="0" xfId="0">
      <alignment horizontal="left" vertical="center" wrapText="1"/>
    </xf>
    <xf numFmtId="0" fontId="16" fillId="15" borderId="2" applyAlignment="1" pivotButton="0" quotePrefix="0" xfId="0">
      <alignment horizontal="center" vertical="center" wrapText="1"/>
    </xf>
    <xf numFmtId="0" fontId="22" fillId="0" borderId="2" applyAlignment="1" pivotButton="0" quotePrefix="0" xfId="0">
      <alignment horizontal="center" vertical="center" wrapText="1"/>
    </xf>
    <xf numFmtId="0" fontId="22" fillId="6" borderId="2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left" vertical="center" wrapText="1"/>
    </xf>
    <xf numFmtId="0" fontId="44" fillId="0" borderId="0" applyAlignment="1" pivotButton="0" quotePrefix="0" xfId="0">
      <alignment horizontal="left" vertical="center" wrapText="1"/>
    </xf>
    <xf numFmtId="0" fontId="46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0" fontId="48" fillId="5" borderId="2" applyAlignment="1" pivotButton="0" quotePrefix="0" xfId="0">
      <alignment horizontal="center" vertical="center" wrapText="1"/>
    </xf>
    <xf numFmtId="0" fontId="27" fillId="6" borderId="2" applyAlignment="1" pivotButton="0" quotePrefix="0" xfId="0">
      <alignment horizontal="center" vertical="center" wrapText="1"/>
    </xf>
    <xf numFmtId="0" fontId="50" fillId="0" borderId="2" applyAlignment="1" pivotButton="0" quotePrefix="0" xfId="0">
      <alignment horizontal="center" vertical="center" wrapText="1"/>
    </xf>
    <xf numFmtId="0" fontId="42" fillId="13" borderId="2" applyAlignment="1" pivotButton="0" quotePrefix="0" xfId="0">
      <alignment horizontal="left" vertical="center" wrapText="1"/>
    </xf>
    <xf numFmtId="0" fontId="51" fillId="7" borderId="2" applyAlignment="1" pivotButton="0" quotePrefix="0" xfId="0">
      <alignment horizontal="center" vertical="center" wrapText="1"/>
    </xf>
    <xf numFmtId="0" fontId="51" fillId="15" borderId="2" applyAlignment="1" pivotButton="0" quotePrefix="0" xfId="0">
      <alignment horizontal="center" vertical="center" wrapText="1"/>
    </xf>
    <xf numFmtId="0" fontId="52" fillId="0" borderId="2" applyAlignment="1" pivotButton="0" quotePrefix="0" xfId="0">
      <alignment horizontal="left" vertical="center" wrapText="1"/>
    </xf>
    <xf numFmtId="0" fontId="42" fillId="0" borderId="2" applyAlignment="1" pivotButton="0" quotePrefix="0" xfId="0">
      <alignment horizontal="left" vertical="center" wrapText="1"/>
    </xf>
    <xf numFmtId="0" fontId="51" fillId="11" borderId="2" applyAlignment="1" pivotButton="0" quotePrefix="0" xfId="0">
      <alignment horizontal="center" vertical="center" wrapText="1"/>
    </xf>
    <xf numFmtId="0" fontId="42" fillId="11" borderId="2" applyAlignment="1" pivotButton="0" quotePrefix="0" xfId="0">
      <alignment horizontal="left" vertical="center" wrapText="1"/>
    </xf>
    <xf numFmtId="0" fontId="12" fillId="16" borderId="2" applyAlignment="1" pivotButton="0" quotePrefix="0" xfId="0">
      <alignment horizontal="center" vertical="center" wrapText="1"/>
    </xf>
    <xf numFmtId="0" fontId="53" fillId="0" borderId="2" applyAlignment="1" pivotButton="0" quotePrefix="0" xfId="0">
      <alignment horizontal="left" vertical="center" wrapText="1"/>
    </xf>
    <xf numFmtId="0" fontId="38" fillId="13" borderId="2" applyAlignment="1" pivotButton="0" quotePrefix="0" xfId="0">
      <alignment horizontal="center" vertical="center" wrapText="1"/>
    </xf>
    <xf numFmtId="0" fontId="38" fillId="11" borderId="2" applyAlignment="1" pivotButton="0" quotePrefix="0" xfId="0">
      <alignment horizontal="center" vertical="center" wrapText="1"/>
    </xf>
    <xf numFmtId="0" fontId="38" fillId="0" borderId="2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left" vertical="center" wrapText="1"/>
    </xf>
    <xf numFmtId="0" fontId="53" fillId="14" borderId="2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7" fillId="0" borderId="0" applyAlignment="1" pivotButton="0" quotePrefix="0" xfId="0">
      <alignment horizontal="left" vertical="center" wrapText="1"/>
    </xf>
    <xf numFmtId="0" fontId="54" fillId="14" borderId="2" applyAlignment="1" pivotButton="0" quotePrefix="0" xfId="0">
      <alignment horizontal="left" vertical="center" wrapText="1"/>
    </xf>
    <xf numFmtId="0" fontId="14" fillId="6" borderId="2" applyAlignment="1" pivotButton="0" quotePrefix="0" xfId="0">
      <alignment horizontal="center" vertical="center" wrapText="1"/>
    </xf>
    <xf numFmtId="0" fontId="12" fillId="14" borderId="2" applyAlignment="1" pivotButton="0" quotePrefix="0" xfId="0">
      <alignment horizontal="left" vertical="center" wrapText="1"/>
    </xf>
    <xf numFmtId="0" fontId="55" fillId="6" borderId="2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left" vertical="center" wrapText="1"/>
    </xf>
    <xf numFmtId="0" fontId="56" fillId="0" borderId="2" applyAlignment="1" pivotButton="0" quotePrefix="0" xfId="0">
      <alignment horizontal="center" vertical="center" wrapText="1"/>
    </xf>
    <xf numFmtId="0" fontId="35" fillId="0" borderId="2" applyAlignment="1" pivotButton="0" quotePrefix="0" xfId="0">
      <alignment horizontal="center" vertical="center" wrapText="1"/>
    </xf>
    <xf numFmtId="0" fontId="56" fillId="13" borderId="2" applyAlignment="1" pivotButton="0" quotePrefix="0" xfId="0">
      <alignment horizontal="center" vertical="center" wrapText="1"/>
    </xf>
    <xf numFmtId="0" fontId="56" fillId="6" borderId="2" applyAlignment="1" pivotButton="0" quotePrefix="0" xfId="0">
      <alignment horizontal="center" vertical="center" wrapText="1"/>
    </xf>
    <xf numFmtId="0" fontId="35" fillId="6" borderId="2" applyAlignment="1" pivotButton="0" quotePrefix="0" xfId="0">
      <alignment horizontal="center" vertical="center" wrapText="1"/>
    </xf>
    <xf numFmtId="0" fontId="58" fillId="0" borderId="0" applyAlignment="1" pivotButton="0" quotePrefix="0" xfId="0">
      <alignment horizontal="left" vertical="center" wrapText="1"/>
    </xf>
    <xf numFmtId="0" fontId="55" fillId="0" borderId="0" applyAlignment="1" pivotButton="0" quotePrefix="0" xfId="0">
      <alignment horizontal="left" vertical="center" wrapText="1"/>
    </xf>
    <xf numFmtId="0" fontId="60" fillId="0" borderId="0" applyAlignment="1" pivotButton="0" quotePrefix="0" xfId="0">
      <alignment horizontal="left" vertical="center" wrapText="1"/>
    </xf>
    <xf numFmtId="0" fontId="61" fillId="5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14" fillId="7" borderId="2" applyAlignment="1" pivotButton="0" quotePrefix="0" xfId="0">
      <alignment horizontal="center" vertical="center" wrapText="1"/>
    </xf>
    <xf numFmtId="0" fontId="62" fillId="0" borderId="2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center" vertical="center" wrapText="1"/>
    </xf>
    <xf numFmtId="0" fontId="14" fillId="11" borderId="2" applyAlignment="1" pivotButton="0" quotePrefix="0" xfId="0">
      <alignment horizontal="center" vertical="center" wrapText="1"/>
    </xf>
    <xf numFmtId="0" fontId="8" fillId="13" borderId="2" applyAlignment="1" pivotButton="0" quotePrefix="0" xfId="0">
      <alignment horizontal="center" vertical="center" wrapText="1"/>
    </xf>
    <xf numFmtId="0" fontId="14" fillId="13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63" fillId="0" borderId="0" applyAlignment="1" pivotButton="0" quotePrefix="0" xfId="0">
      <alignment horizontal="left" vertical="center" wrapText="1"/>
    </xf>
    <xf numFmtId="0" fontId="64" fillId="0" borderId="0" applyAlignment="1" pivotButton="0" quotePrefix="0" xfId="0">
      <alignment horizontal="general" vertical="bottom"/>
    </xf>
    <xf numFmtId="0" fontId="66" fillId="0" borderId="0" applyAlignment="1" pivotButton="0" quotePrefix="0" xfId="0">
      <alignment horizontal="general" vertical="bottom"/>
    </xf>
    <xf numFmtId="0" fontId="68" fillId="0" borderId="0" applyAlignment="1" pivotButton="0" quotePrefix="0" xfId="0">
      <alignment horizontal="general" vertical="bottom"/>
    </xf>
    <xf numFmtId="0" fontId="37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left" vertical="top" wrapText="1"/>
    </xf>
    <xf numFmtId="0" fontId="22" fillId="0" borderId="1" applyAlignment="1" pivotButton="0" quotePrefix="0" xfId="0">
      <alignment horizontal="left" vertical="top" wrapText="1"/>
    </xf>
    <xf numFmtId="0" fontId="30" fillId="0" borderId="0" applyAlignment="1" pivotButton="0" quotePrefix="0" xfId="0">
      <alignment horizontal="general" vertical="bottom"/>
    </xf>
    <xf numFmtId="0" fontId="70" fillId="5" borderId="1" applyAlignment="1" pivotButton="0" quotePrefix="0" xfId="0">
      <alignment horizontal="center" vertical="center" wrapText="1"/>
    </xf>
    <xf numFmtId="0" fontId="70" fillId="5" borderId="1" applyAlignment="1" pivotButton="0" quotePrefix="0" xfId="0">
      <alignment horizontal="center" vertical="center"/>
    </xf>
    <xf numFmtId="0" fontId="71" fillId="0" borderId="1" applyAlignment="1" pivotButton="0" quotePrefix="0" xfId="0">
      <alignment horizontal="center" vertical="center"/>
    </xf>
    <xf numFmtId="0" fontId="72" fillId="0" borderId="1" applyAlignment="1" pivotButton="0" quotePrefix="0" xfId="0">
      <alignment horizontal="center" vertical="center"/>
    </xf>
    <xf numFmtId="0" fontId="73" fillId="0" borderId="1" applyAlignment="1" pivotButton="0" quotePrefix="0" xfId="0">
      <alignment horizontal="center" vertical="center"/>
    </xf>
    <xf numFmtId="0" fontId="73" fillId="0" borderId="1" applyAlignment="1" pivotButton="0" quotePrefix="0" xfId="0">
      <alignment horizontal="left" vertical="top" wrapText="1"/>
    </xf>
    <xf numFmtId="164" fontId="74" fillId="0" borderId="1" applyAlignment="1" pivotButton="0" quotePrefix="0" xfId="0">
      <alignment horizontal="center" vertical="center"/>
    </xf>
    <xf numFmtId="0" fontId="75" fillId="0" borderId="0" applyAlignment="1" pivotButton="0" quotePrefix="0" xfId="0">
      <alignment horizontal="general" vertical="bottom"/>
    </xf>
    <xf numFmtId="0" fontId="76" fillId="0" borderId="0" applyAlignment="1" pivotButton="0" quotePrefix="0" xfId="0">
      <alignment horizontal="general" vertical="bottom"/>
    </xf>
    <xf numFmtId="0" fontId="21" fillId="0" borderId="1" applyAlignment="1" pivotButton="0" quotePrefix="0" xfId="0">
      <alignment horizontal="general" vertical="bottom"/>
    </xf>
    <xf numFmtId="0" fontId="77" fillId="0" borderId="1" applyAlignment="1" pivotButton="0" quotePrefix="0" xfId="0">
      <alignment horizontal="center" vertical="center"/>
    </xf>
    <xf numFmtId="0" fontId="78" fillId="0" borderId="1" applyAlignment="1" pivotButton="0" quotePrefix="0" xfId="0">
      <alignment horizontal="general" vertical="bottom"/>
    </xf>
    <xf numFmtId="0" fontId="80" fillId="0" borderId="1" applyAlignment="1" pivotButton="0" quotePrefix="0" xfId="0">
      <alignment horizontal="general" vertical="bottom"/>
    </xf>
    <xf numFmtId="0" fontId="16" fillId="0" borderId="1" applyAlignment="1" pivotButton="0" quotePrefix="0" xfId="0">
      <alignment horizontal="center" vertical="center"/>
    </xf>
    <xf numFmtId="0" fontId="81" fillId="17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83" fillId="0" borderId="0" applyAlignment="1" pivotButton="0" quotePrefix="0" xfId="0">
      <alignment horizontal="general" vertical="top" wrapText="1"/>
    </xf>
    <xf numFmtId="0" fontId="84" fillId="18" borderId="1" applyAlignment="1" pivotButton="0" quotePrefix="0" xfId="0">
      <alignment horizontal="center" vertical="center"/>
    </xf>
    <xf numFmtId="0" fontId="85" fillId="0" borderId="1" applyAlignment="1" pivotButton="0" quotePrefix="0" xfId="0">
      <alignment horizontal="general" vertical="top" wrapText="1"/>
    </xf>
    <xf numFmtId="0" fontId="85" fillId="19" borderId="1" applyAlignment="1" pivotButton="0" quotePrefix="0" xfId="0">
      <alignment horizontal="general" vertical="top" wrapText="1"/>
    </xf>
    <xf numFmtId="0" fontId="86" fillId="0" borderId="1" applyAlignment="1" pivotButton="0" quotePrefix="0" xfId="0">
      <alignment horizontal="general" vertical="top" wrapText="1"/>
    </xf>
    <xf numFmtId="0" fontId="86" fillId="19" borderId="1" applyAlignment="1" pivotButton="0" quotePrefix="0" xfId="0">
      <alignment horizontal="general" vertical="top" wrapText="1"/>
    </xf>
    <xf numFmtId="0" fontId="88" fillId="7" borderId="0" applyAlignment="1" pivotButton="0" quotePrefix="0" xfId="0">
      <alignment horizontal="general" vertical="top" wrapText="1"/>
    </xf>
    <xf numFmtId="0" fontId="89" fillId="0" borderId="0" applyAlignment="1" pivotButton="0" quotePrefix="0" xfId="0">
      <alignment horizontal="general" vertical="bottom"/>
    </xf>
    <xf numFmtId="0" fontId="91" fillId="20" borderId="0" applyAlignment="1" pivotButton="0" quotePrefix="0" xfId="0">
      <alignment horizontal="center" vertical="center"/>
    </xf>
    <xf numFmtId="0" fontId="92" fillId="0" borderId="3" applyAlignment="1" pivotButton="0" quotePrefix="0" xfId="0">
      <alignment horizontal="center" vertical="center" wrapText="1"/>
    </xf>
    <xf numFmtId="0" fontId="93" fillId="0" borderId="3" applyAlignment="1" pivotButton="0" quotePrefix="0" xfId="0">
      <alignment horizontal="center" vertical="center" wrapText="1"/>
    </xf>
    <xf numFmtId="0" fontId="94" fillId="0" borderId="3" applyAlignment="1" pivotButton="0" quotePrefix="0" xfId="0">
      <alignment horizontal="left" vertical="center" wrapText="1"/>
    </xf>
    <xf numFmtId="0" fontId="93" fillId="0" borderId="3" applyAlignment="1" pivotButton="0" quotePrefix="0" xfId="0">
      <alignment horizontal="left" vertical="center" wrapText="1"/>
    </xf>
    <xf numFmtId="0" fontId="94" fillId="0" borderId="3" applyAlignment="1" pivotButton="0" quotePrefix="0" xfId="0">
      <alignment horizontal="center" vertical="center" wrapText="1"/>
    </xf>
    <xf numFmtId="0" fontId="96" fillId="15" borderId="2" applyAlignment="1" pivotButton="0" quotePrefix="0" xfId="0">
      <alignment horizontal="left" vertical="center" wrapText="1"/>
    </xf>
    <xf numFmtId="0" fontId="63" fillId="7" borderId="2" applyAlignment="1" pivotButton="0" quotePrefix="0" xfId="0">
      <alignment horizontal="left" vertical="center" wrapText="1"/>
    </xf>
    <xf numFmtId="0" fontId="97" fillId="0" borderId="2" applyAlignment="1" pivotButton="0" quotePrefix="0" xfId="0">
      <alignment horizontal="center" vertical="center" wrapText="1"/>
    </xf>
    <xf numFmtId="0" fontId="8" fillId="15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left" vertical="center" wrapText="1"/>
    </xf>
    <xf numFmtId="0" fontId="98" fillId="0" borderId="0" applyAlignment="1" pivotButton="0" quotePrefix="0" xfId="0">
      <alignment horizontal="left" vertical="center" wrapText="1"/>
    </xf>
    <xf numFmtId="0" fontId="77" fillId="0" borderId="0" applyAlignment="1" pivotButton="0" quotePrefix="0" xfId="0">
      <alignment horizontal="general" vertical="bottom"/>
    </xf>
    <xf numFmtId="0" fontId="83" fillId="0" borderId="0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top" wrapText="1"/>
    </xf>
    <xf numFmtId="0" fontId="8" fillId="17" borderId="0" applyAlignment="1" pivotButton="0" quotePrefix="0" xfId="0">
      <alignment horizontal="general" vertical="top" wrapText="1"/>
    </xf>
    <xf numFmtId="0" fontId="31" fillId="0" borderId="1" applyAlignment="1" pivotButton="0" quotePrefix="0" xfId="0">
      <alignment horizontal="general" vertical="top" wrapText="1"/>
    </xf>
    <xf numFmtId="0" fontId="38" fillId="21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83" fillId="7" borderId="0" applyAlignment="1" pivotButton="0" quotePrefix="0" xfId="0">
      <alignment horizontal="general" vertical="top" wrapText="1"/>
    </xf>
    <xf numFmtId="0" fontId="38" fillId="0" borderId="1" applyAlignment="1" pivotButton="0" quotePrefix="0" xfId="0">
      <alignment horizontal="general" vertical="top" wrapText="1"/>
    </xf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100" fillId="18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11" fillId="17" borderId="0" applyAlignment="1" pivotButton="0" quotePrefix="0" xfId="0">
      <alignment horizontal="general" vertical="top" wrapText="1"/>
    </xf>
    <xf numFmtId="0" fontId="31" fillId="0" borderId="0" applyAlignment="1" pivotButton="0" quotePrefix="0" xfId="0">
      <alignment horizontal="general" vertical="top" wrapText="1"/>
    </xf>
    <xf numFmtId="0" fontId="102" fillId="0" borderId="0" applyAlignment="1" pivotButton="0" quotePrefix="0" xfId="0">
      <alignment horizontal="general" vertical="bottom"/>
    </xf>
    <xf numFmtId="0" fontId="4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4" fillId="13" borderId="2" applyAlignment="1" pivotButton="0" quotePrefix="0" xfId="0">
      <alignment horizontal="left" vertical="center" wrapText="1"/>
    </xf>
    <xf numFmtId="0" fontId="54" fillId="11" borderId="2" applyAlignment="1" pivotButton="0" quotePrefix="0" xfId="0">
      <alignment horizontal="left" vertical="center" wrapText="1"/>
    </xf>
    <xf numFmtId="0" fontId="54" fillId="7" borderId="2" applyAlignment="1" pivotButton="0" quotePrefix="0" xfId="0">
      <alignment horizontal="left" vertical="center" wrapText="1"/>
    </xf>
    <xf numFmtId="0" fontId="104" fillId="5" borderId="6" applyAlignment="1" pivotButton="0" quotePrefix="0" xfId="0">
      <alignment horizontal="center" vertical="center" wrapText="1"/>
    </xf>
    <xf numFmtId="0" fontId="105" fillId="14" borderId="6" applyAlignment="1" pivotButton="0" quotePrefix="0" xfId="0">
      <alignment horizontal="center" vertical="center" wrapText="1"/>
    </xf>
    <xf numFmtId="0" fontId="106" fillId="0" borderId="2" applyAlignment="1" pivotButton="0" quotePrefix="0" xfId="0">
      <alignment horizontal="left" vertical="center" wrapText="1"/>
    </xf>
    <xf numFmtId="0" fontId="105" fillId="22" borderId="7" applyAlignment="1" pivotButton="0" quotePrefix="0" xfId="0">
      <alignment horizontal="center" vertical="center" wrapText="1"/>
    </xf>
    <xf numFmtId="0" fontId="108" fillId="0" borderId="2" applyAlignment="1" pivotButton="0" quotePrefix="0" xfId="0">
      <alignment horizontal="center" vertical="center" wrapText="1"/>
    </xf>
    <xf numFmtId="0" fontId="109" fillId="15" borderId="2" applyAlignment="1" pivotButton="0" quotePrefix="0" xfId="0">
      <alignment horizontal="center" vertical="center" wrapText="1"/>
    </xf>
    <xf numFmtId="0" fontId="110" fillId="0" borderId="0" applyAlignment="1" pivotButton="0" quotePrefix="0" xfId="0">
      <alignment horizontal="left" vertical="center" wrapText="1"/>
    </xf>
    <xf numFmtId="0" fontId="108" fillId="0" borderId="0" applyAlignment="1" pivotButton="0" quotePrefix="0" xfId="0">
      <alignment horizontal="left" vertical="center" wrapText="1"/>
    </xf>
    <xf numFmtId="0" fontId="112" fillId="6" borderId="2" applyAlignment="1" pivotButton="0" quotePrefix="0" xfId="0">
      <alignment horizontal="center" vertical="center" wrapText="1"/>
    </xf>
    <xf numFmtId="0" fontId="47" fillId="0" borderId="2" applyAlignment="1" pivotButton="0" quotePrefix="0" xfId="0">
      <alignment horizontal="center" vertical="center" wrapText="1"/>
    </xf>
    <xf numFmtId="0" fontId="14" fillId="6" borderId="6" applyAlignment="1" pivotButton="0" quotePrefix="0" xfId="0">
      <alignment horizontal="center" vertical="center" wrapText="1"/>
    </xf>
    <xf numFmtId="0" fontId="113" fillId="6" borderId="2" applyAlignment="1" pivotButton="0" quotePrefix="0" xfId="0">
      <alignment horizontal="center" vertical="center" wrapText="1"/>
    </xf>
    <xf numFmtId="0" fontId="64" fillId="0" borderId="2" applyAlignment="1" pivotButton="0" quotePrefix="0" xfId="0">
      <alignment horizontal="center" vertical="center" wrapText="1"/>
    </xf>
    <xf numFmtId="0" fontId="114" fillId="5" borderId="6" applyAlignment="1" pivotButton="0" quotePrefix="0" xfId="0">
      <alignment horizontal="center" vertical="center" wrapText="1"/>
    </xf>
    <xf numFmtId="0" fontId="0" fillId="0" borderId="16" pivotButton="0" quotePrefix="0" xfId="0"/>
    <xf numFmtId="0" fontId="115" fillId="6" borderId="6" applyAlignment="1" pivotButton="0" quotePrefix="0" xfId="0">
      <alignment horizontal="center" vertical="center" wrapText="1"/>
    </xf>
    <xf numFmtId="0" fontId="116" fillId="0" borderId="0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2CC"/>
      <rgbColor rgb="FFFF00FF"/>
      <rgbColor rgb="FFF2F4F7"/>
      <rgbColor rgb="FFB00000"/>
      <rgbColor rgb="FF008000"/>
      <rgbColor rgb="FF000080"/>
      <rgbColor rgb="FFB8860B"/>
      <rgbColor rgb="FF800080"/>
      <rgbColor rgb="FF008080"/>
      <rgbColor rgb="FFBFBFBF"/>
      <rgbColor rgb="FF7B8493"/>
      <rgbColor rgb="FF9AA4B2"/>
      <rgbColor rgb="FF9C4536"/>
      <rgbColor rgb="FFFFF8E1"/>
      <rgbColor rgb="FFE6F1FB"/>
      <rgbColor rgb="FF660066"/>
      <rgbColor rgb="FFB08A3E"/>
      <rgbColor rgb="FF0066CC"/>
      <rgbColor rgb="FFC8CFD8"/>
      <rgbColor rgb="FF000080"/>
      <rgbColor rgb="FFFF00FF"/>
      <rgbColor rgb="FFFFF3CD"/>
      <rgbColor rgb="FFF2F2F2"/>
      <rgbColor rgb="FF800080"/>
      <rgbColor rgb="FF800000"/>
      <rgbColor rgb="FF008080"/>
      <rgbColor rgb="FF0000FF"/>
      <rgbColor rgb="FFFAFBFC"/>
      <rgbColor rgb="FFDEEAF6"/>
      <rgbColor rgb="FFE2EFDA"/>
      <rgbColor rgb="FFFFFF99"/>
      <rgbColor rgb="FFD9D9D9"/>
      <rgbColor rgb="FFFCE4E4"/>
      <rgbColor rgb="FFEAE3F2"/>
      <rgbColor rgb="FFFFE066"/>
      <rgbColor rgb="FF3366FF"/>
      <rgbColor rgb="FFE3ECF5"/>
      <rgbColor rgb="FFF5ECD8"/>
      <rgbColor rgb="FFFCE9D6"/>
      <rgbColor rgb="FFFBF0D9"/>
      <rgbColor rgb="FFFBF8F0"/>
      <rgbColor rgb="FF5A6473"/>
      <rgbColor rgb="FF888888"/>
      <rgbColor rgb="FF1B365D"/>
      <rgbColor rgb="FF2E7D32"/>
      <rgbColor rgb="FF15233B"/>
      <rgbColor rgb="FF333300"/>
      <rgbColor rgb="FF993300"/>
      <rgbColor rgb="FF993366"/>
      <rgbColor rgb="FF555555"/>
      <rgbColor rgb="FF1C2531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191" min="1" max="1"/>
    <col width="26" customWidth="1" style="191" min="2" max="2"/>
    <col width="12" customWidth="1" style="191" min="3" max="3"/>
    <col width="8" customWidth="1" style="191" min="4" max="5"/>
    <col width="12" customWidth="1" style="191" min="6" max="6"/>
  </cols>
  <sheetData>
    <row r="1" ht="18" customHeight="1" s="192">
      <c r="A1" s="193" t="inlineStr">
        <is>
          <t>★ 현장 상담 대시보드</t>
        </is>
      </c>
    </row>
    <row r="2" ht="15" customHeight="1" s="192">
      <c r="A2" s="194" t="inlineStr">
        <is>
          <t>코드·종목·목표만 입력하면 → 상담 내용이 전부 자동 출력. 이 화면 보며 상담하세요.</t>
        </is>
      </c>
    </row>
    <row r="4" ht="18.75" customHeight="1" s="192">
      <c r="A4" s="195" t="inlineStr">
        <is>
          <t>[ 입력 ]</t>
        </is>
      </c>
    </row>
    <row r="5" ht="15" customHeight="1" s="192">
      <c r="A5" s="196" t="inlineStr">
        <is>
          <t>이름</t>
        </is>
      </c>
      <c r="B5" s="197" t="inlineStr">
        <is>
          <t>신지오</t>
        </is>
      </c>
      <c r="D5" s="198" t="inlineStr">
        <is>
          <t>선천</t>
        </is>
      </c>
      <c r="E5" s="198" t="inlineStr">
        <is>
          <t>대사</t>
        </is>
      </c>
      <c r="F5" s="198" t="inlineStr">
        <is>
          <t>생활</t>
        </is>
      </c>
    </row>
    <row r="6" ht="15" customHeight="1" s="192">
      <c r="A6" s="199" t="inlineStr">
        <is>
          <t>BioCode (예: 2-1-2)</t>
        </is>
      </c>
      <c r="B6" s="200" t="inlineStr">
        <is>
          <t>2-1-2</t>
        </is>
      </c>
      <c r="D6" s="201">
        <f>VALUE(LEFT(B6,1))</f>
        <v/>
      </c>
      <c r="E6" s="201">
        <f>VALUE(MID(B6,3,1))</f>
        <v/>
      </c>
      <c r="F6" s="201">
        <f>VALUE(RIGHT(B6,1))</f>
        <v/>
      </c>
    </row>
    <row r="7" ht="15" customHeight="1" s="192">
      <c r="A7" s="196" t="inlineStr">
        <is>
          <t>종목·포지션</t>
        </is>
      </c>
      <c r="B7" s="197" t="inlineStr">
        <is>
          <t>야구 내야수</t>
        </is>
      </c>
    </row>
    <row r="8" ht="15" customHeight="1" s="192">
      <c r="A8" s="196" t="inlineStr">
        <is>
          <t>목표수준</t>
        </is>
      </c>
      <c r="B8" s="197" t="inlineStr">
        <is>
          <t>프로</t>
        </is>
      </c>
    </row>
    <row r="10" ht="18.75" customHeight="1" s="192">
      <c r="A10" s="195" t="inlineStr">
        <is>
          <t>[ 진단 — 코드에서 자동 ]</t>
        </is>
      </c>
    </row>
    <row r="11" ht="15" customHeight="1" s="192">
      <c r="A11" s="202" t="inlineStr">
        <is>
          <t>캐릭터명</t>
        </is>
      </c>
      <c r="B11" s="203">
        <f>VLOOKUP($B$6,27코드마스터!$A$5:$R$31,5,FALSE())</f>
        <v/>
      </c>
      <c r="C11" s="204" t="n"/>
      <c r="D11" s="204" t="n"/>
      <c r="E11" s="204" t="n"/>
      <c r="F11" s="205" t="n"/>
    </row>
    <row r="12" ht="15" customHeight="1" s="192">
      <c r="A12" s="202" t="inlineStr">
        <is>
          <t>타고난몸 (선천)</t>
        </is>
      </c>
      <c r="B12" s="203">
        <f>VLOOKUP($B$6,27코드마스터!$A$5:$R$31,6,FALSE())</f>
        <v/>
      </c>
      <c r="C12" s="204" t="n"/>
      <c r="D12" s="204" t="n"/>
      <c r="E12" s="204" t="n"/>
      <c r="F12" s="205" t="n"/>
    </row>
    <row r="13" ht="15" customHeight="1" s="192">
      <c r="A13" s="202" t="inlineStr">
        <is>
          <t>체질</t>
        </is>
      </c>
      <c r="B13" s="203">
        <f>VLOOKUP($B$6,27코드마스터!$A$5:$R$31,7,FALSE())</f>
        <v/>
      </c>
      <c r="C13" s="204" t="n"/>
      <c r="D13" s="204" t="n"/>
      <c r="E13" s="204" t="n"/>
      <c r="F13" s="205" t="n"/>
    </row>
    <row r="14" ht="15" customHeight="1" s="192">
      <c r="A14" s="202" t="inlineStr">
        <is>
          <t>정신기질</t>
        </is>
      </c>
      <c r="B14" s="203">
        <f>VLOOKUP($B$6,27코드마스터!$A$5:$R$31,8,FALSE())</f>
        <v/>
      </c>
      <c r="C14" s="204" t="n"/>
      <c r="D14" s="204" t="n"/>
      <c r="E14" s="204" t="n"/>
      <c r="F14" s="205" t="n"/>
    </row>
    <row r="15" ht="15" customHeight="1" s="192">
      <c r="A15" s="202" t="inlineStr">
        <is>
          <t>현재몸 (대사)</t>
        </is>
      </c>
      <c r="B15" s="203">
        <f>VLOOKUP($B$6,27코드마스터!$A$5:$R$31,9,FALSE())</f>
        <v/>
      </c>
      <c r="C15" s="204" t="n"/>
      <c r="D15" s="204" t="n"/>
      <c r="E15" s="204" t="n"/>
      <c r="F15" s="205" t="n"/>
    </row>
    <row r="16" ht="15" customHeight="1" s="192">
      <c r="A16" s="202" t="inlineStr">
        <is>
          <t>흡수</t>
        </is>
      </c>
      <c r="B16" s="203">
        <f>VLOOKUP($B$6,27코드마스터!$A$5:$R$31,10,FALSE())</f>
        <v/>
      </c>
      <c r="C16" s="204" t="n"/>
      <c r="D16" s="204" t="n"/>
      <c r="E16" s="204" t="n"/>
      <c r="F16" s="205" t="n"/>
    </row>
    <row r="17" ht="15" customHeight="1" s="192">
      <c r="A17" s="202" t="inlineStr">
        <is>
          <t>습관 (생활)</t>
        </is>
      </c>
      <c r="B17" s="203">
        <f>VLOOKUP($B$6,27코드마스터!$A$5:$R$31,14,FALSE())</f>
        <v/>
      </c>
      <c r="C17" s="204" t="n"/>
      <c r="D17" s="204" t="n"/>
      <c r="E17" s="204" t="n"/>
      <c r="F17" s="205" t="n"/>
    </row>
    <row r="18" ht="15" customHeight="1" s="192">
      <c r="A18" s="202" t="inlineStr">
        <is>
          <t>수면</t>
        </is>
      </c>
      <c r="B18" s="203">
        <f>VLOOKUP($B$6,27코드마스터!$A$5:$R$31,15,FALSE())</f>
        <v/>
      </c>
      <c r="C18" s="204" t="n"/>
      <c r="D18" s="204" t="n"/>
      <c r="E18" s="204" t="n"/>
      <c r="F18" s="205" t="n"/>
    </row>
    <row r="19" ht="15" customHeight="1" s="192">
      <c r="A19" s="202" t="inlineStr">
        <is>
          <t>강점</t>
        </is>
      </c>
      <c r="B19" s="203">
        <f>VLOOKUP($B$6,27코드마스터!$A$5:$R$31,17,FALSE())</f>
        <v/>
      </c>
      <c r="C19" s="204" t="n"/>
      <c r="D19" s="204" t="n"/>
      <c r="E19" s="204" t="n"/>
      <c r="F19" s="205" t="n"/>
    </row>
    <row r="20" ht="15" customHeight="1" s="192">
      <c r="A20" s="202" t="inlineStr">
        <is>
          <t>취약점</t>
        </is>
      </c>
      <c r="B20" s="203">
        <f>VLOOKUP($B$6,27코드마스터!$A$5:$R$31,18,FALSE())</f>
        <v/>
      </c>
      <c r="C20" s="204" t="n"/>
      <c r="D20" s="204" t="n"/>
      <c r="E20" s="204" t="n"/>
      <c r="F20" s="205" t="n"/>
    </row>
    <row r="22" ht="18.75" customHeight="1" s="192">
      <c r="A22" s="206" t="inlineStr">
        <is>
          <t>[ 바꿀 것 — 처방 ]</t>
        </is>
      </c>
    </row>
    <row r="23" ht="15" customHeight="1" s="192">
      <c r="A23" s="207" t="inlineStr">
        <is>
          <t>식단</t>
        </is>
      </c>
      <c r="B23" s="203">
        <f>VLOOKUP($B$6,27코드마스터!$A$5:$R$31,11,FALSE())</f>
        <v/>
      </c>
      <c r="C23" s="204" t="n"/>
      <c r="D23" s="204" t="n"/>
      <c r="E23" s="204" t="n"/>
      <c r="F23" s="205" t="n"/>
    </row>
    <row r="24" ht="15" customHeight="1" s="192">
      <c r="A24" s="207" t="inlineStr">
        <is>
          <t>식사방법</t>
        </is>
      </c>
      <c r="B24" s="203">
        <f>VLOOKUP($B$6,27코드마스터!$A$5:$R$31,12,FALSE())</f>
        <v/>
      </c>
      <c r="C24" s="204" t="n"/>
      <c r="D24" s="204" t="n"/>
      <c r="E24" s="204" t="n"/>
      <c r="F24" s="205" t="n"/>
    </row>
    <row r="25" ht="15" customHeight="1" s="192">
      <c r="A25" s="207" t="inlineStr">
        <is>
          <t>간식</t>
        </is>
      </c>
      <c r="B25" s="203">
        <f>VLOOKUP($B$6,27코드마스터!$A$5:$R$31,13,FALSE())</f>
        <v/>
      </c>
      <c r="C25" s="204" t="n"/>
      <c r="D25" s="204" t="n"/>
      <c r="E25" s="204" t="n"/>
      <c r="F25" s="205" t="n"/>
    </row>
    <row r="26" ht="15" customHeight="1" s="192">
      <c r="A26" s="207" t="inlineStr">
        <is>
          <t>운동방법</t>
        </is>
      </c>
      <c r="B26" s="203">
        <f>VLOOKUP($B$6,27코드마스터!$A$5:$R$31,16,FALSE())</f>
        <v/>
      </c>
      <c r="C26" s="204" t="n"/>
      <c r="D26" s="204" t="n"/>
      <c r="E26" s="204" t="n"/>
      <c r="F26" s="205" t="n"/>
    </row>
    <row r="28" ht="18.75" customHeight="1" s="192">
      <c r="A28" s="195" t="inlineStr">
        <is>
          <t>[ 목표 비교 — 격려/경고 ]</t>
        </is>
      </c>
    </row>
    <row r="29" ht="15" customHeight="1" s="192">
      <c r="A29" s="202" t="inlineStr">
        <is>
          <t>목표 요구코드</t>
        </is>
      </c>
      <c r="B29" s="208">
        <f>IFERROR(VLOOKUP($B$7,종목요구코드!$A$5:$E$12,5,FALSE()),"종목 미등록")</f>
        <v/>
      </c>
    </row>
    <row r="30" ht="15" customHeight="1" s="192">
      <c r="A30" s="209" t="inlineStr">
        <is>
          <t>요구 선천/대사/생활</t>
        </is>
      </c>
      <c r="B30" s="210">
        <f>IFERROR(VLOOKUP($B$7,종목요구코드!$A$5:$E$12,2,FALSE())&amp;" / "&amp;VLOOKUP($B$7,종목요구코드!$A$5:$E$12,3,FALSE())&amp;" / "&amp;VLOOKUP($B$7,종목요구코드!$A$5:$E$12,4,FALSE()),"-")</f>
        <v/>
      </c>
    </row>
    <row r="31" ht="15" customHeight="1" s="192">
      <c r="A31" s="209" t="inlineStr">
        <is>
          <t>거리 (요구-현재 합)</t>
        </is>
      </c>
      <c r="B31" s="211">
        <f>IFERROR((VLOOKUP($B$7,종목요구코드!$A$5:$E$12,2,FALSE())-D6)+(VLOOKUP($B$7,종목요구코드!$A$5:$E$12,3,FALSE())-E6)+(VLOOKUP($B$7,종목요구코드!$A$5:$E$12,4,FALSE())-F6),"-")</f>
        <v/>
      </c>
    </row>
    <row r="32" ht="15" customHeight="1" s="192">
      <c r="A32" s="212" t="inlineStr">
        <is>
          <t>★ 상담 메시지</t>
        </is>
      </c>
      <c r="B32" s="213">
        <f>IF(OR($B$8="프로",$B$8="국대",$B$8="대학"),IF(B31&gt;=2,"⚠ 목표가 높은데 채울 것이 많습니다. 지금 생활로는 부족 — 1년 집중 관리 필요",IF(B31&gt;=1,"목표까지 한 걸음. 약한 축만 채우면 도달 가능","✓ 목표 대비 충분 — 잘하고 있습니다")),"취미·일반 목표 — 지금도 충분합니다. 부담 갖지 마세요")</f>
        <v/>
      </c>
      <c r="C32" s="204" t="n"/>
      <c r="D32" s="204" t="n"/>
      <c r="E32" s="204" t="n"/>
      <c r="F32" s="205" t="n"/>
    </row>
  </sheetData>
  <mergeCells count="15">
    <mergeCell ref="B12:F12"/>
    <mergeCell ref="B24:F24"/>
    <mergeCell ref="B16:F16"/>
    <mergeCell ref="B20:F20"/>
    <mergeCell ref="B15:F15"/>
    <mergeCell ref="B11:F11"/>
    <mergeCell ref="B25:F25"/>
    <mergeCell ref="B17:F17"/>
    <mergeCell ref="B19:F19"/>
    <mergeCell ref="B23:F23"/>
    <mergeCell ref="B14:F14"/>
    <mergeCell ref="B32:F32"/>
    <mergeCell ref="B26:F26"/>
    <mergeCell ref="B18:F18"/>
    <mergeCell ref="B13:F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191" min="1" max="1"/>
    <col width="14" customWidth="1" style="191" min="2" max="2"/>
    <col width="16" customWidth="1" style="191" min="3" max="3"/>
    <col width="28" customWidth="1" style="191" min="4" max="4"/>
    <col width="10" customWidth="1" style="191" min="5" max="5"/>
  </cols>
  <sheetData>
    <row r="1" ht="21" customHeight="1" s="192">
      <c r="A1" s="214" t="inlineStr">
        <is>
          <t>BioCode 333 엔진 v13 — 컨트롤 패널</t>
        </is>
      </c>
    </row>
    <row r="2" ht="15" customHeight="1" s="192">
      <c r="A2" s="194" t="inlineStr">
        <is>
          <t>★ 파란 셀만 수정하세요. 모든 수식이 이 값을 참조합니다 (하드코딩 없음).</t>
        </is>
      </c>
    </row>
    <row r="4" ht="16.5" customHeight="1" s="192">
      <c r="A4" s="215" t="inlineStr">
        <is>
          <t>[ 3축 적용 비율 ]</t>
        </is>
      </c>
    </row>
    <row r="5" ht="15" customHeight="1" s="192">
      <c r="A5" s="216" t="inlineStr">
        <is>
          <t>축</t>
        </is>
      </c>
      <c r="B5" s="216" t="inlineStr">
        <is>
          <t>비율(%)</t>
        </is>
      </c>
      <c r="C5" s="216" t="inlineStr">
        <is>
          <t>영역</t>
        </is>
      </c>
      <c r="D5" s="216" t="inlineStr">
        <is>
          <t>설명</t>
        </is>
      </c>
    </row>
    <row r="6" ht="15" customHeight="1" s="192">
      <c r="A6" s="217" t="inlineStr">
        <is>
          <t>1번 선천(유전)</t>
        </is>
      </c>
      <c r="B6" s="218" t="n">
        <v>60</v>
      </c>
      <c r="C6" s="219" t="inlineStr">
        <is>
          <t>유전(고정)</t>
        </is>
      </c>
      <c r="D6" s="219" t="inlineStr">
        <is>
          <t>타고난 골격·체질·기질</t>
        </is>
      </c>
    </row>
    <row r="7" ht="15" customHeight="1" s="192">
      <c r="A7" s="217" t="inlineStr">
        <is>
          <t>2번 대사</t>
        </is>
      </c>
      <c r="B7" s="218" t="n">
        <v>22</v>
      </c>
      <c r="C7" s="219" t="inlineStr">
        <is>
          <t>후천(가변)</t>
        </is>
      </c>
      <c r="D7" s="219" t="inlineStr">
        <is>
          <t>흡수·저장 효율</t>
        </is>
      </c>
    </row>
    <row r="8" ht="15" customHeight="1" s="192">
      <c r="A8" s="217" t="inlineStr">
        <is>
          <t>3번 생활</t>
        </is>
      </c>
      <c r="B8" s="218" t="n">
        <v>18</v>
      </c>
      <c r="C8" s="219" t="inlineStr">
        <is>
          <t>후천(가변)</t>
        </is>
      </c>
      <c r="D8" s="219" t="inlineStr">
        <is>
          <t>수면·활동·노력</t>
        </is>
      </c>
    </row>
    <row r="9" ht="15" customHeight="1" s="192">
      <c r="A9" s="196" t="inlineStr">
        <is>
          <t>합계(=100 검증)</t>
        </is>
      </c>
      <c r="B9" s="211">
        <f>SUM(B6:B8)</f>
        <v/>
      </c>
    </row>
    <row r="10" ht="15" customHeight="1" s="192">
      <c r="A10" s="220" t="inlineStr">
        <is>
          <t>유전:후천</t>
        </is>
      </c>
      <c r="B10" s="221">
        <f>B6&amp;" : "&amp;(B7+B8)</f>
        <v/>
      </c>
    </row>
    <row r="12" ht="16.5" customHeight="1" s="192">
      <c r="A12" s="215" t="inlineStr">
        <is>
          <t>[ 기타 계수 ]</t>
        </is>
      </c>
    </row>
    <row r="13" ht="15" customHeight="1" s="192">
      <c r="A13" s="216" t="inlineStr">
        <is>
          <t>파라미터</t>
        </is>
      </c>
      <c r="B13" s="216" t="inlineStr">
        <is>
          <t>값</t>
        </is>
      </c>
      <c r="C13" s="216" t="inlineStr">
        <is>
          <t>단위</t>
        </is>
      </c>
      <c r="D13" s="216" t="inlineStr">
        <is>
          <t>근거</t>
        </is>
      </c>
    </row>
    <row r="14" ht="15" customHeight="1" s="192">
      <c r="A14" s="222" t="inlineStr">
        <is>
          <t>종목 보정계수</t>
        </is>
      </c>
      <c r="B14" s="218" t="n">
        <v>1.15</v>
      </c>
      <c r="C14" s="219" t="inlineStr">
        <is>
          <t>배</t>
        </is>
      </c>
      <c r="D14" s="219" t="inlineStr">
        <is>
          <t>자체모델</t>
        </is>
      </c>
    </row>
    <row r="15" ht="15" customHeight="1" s="192">
      <c r="A15" s="222" t="inlineStr">
        <is>
          <t>환경여력(후천변동폭)</t>
        </is>
      </c>
      <c r="B15" s="218" t="n">
        <v>5</v>
      </c>
      <c r="C15" s="223" t="inlineStr">
        <is>
          <t>±cm</t>
        </is>
      </c>
      <c r="D15" s="219" t="inlineStr">
        <is>
          <t>성장도표/유전율연구</t>
        </is>
      </c>
    </row>
    <row r="16" ht="15" customHeight="1" s="192">
      <c r="A16" s="222" t="inlineStr">
        <is>
          <t>체중1kg당 칼로리</t>
        </is>
      </c>
      <c r="B16" s="218" t="n">
        <v>7700</v>
      </c>
      <c r="C16" s="223" t="inlineStr">
        <is>
          <t>kcal</t>
        </is>
      </c>
      <c r="D16" s="223" t="inlineStr">
        <is>
          <t>Wishnofsky</t>
        </is>
      </c>
    </row>
    <row r="19" ht="16.5" customHeight="1" s="192">
      <c r="A19" s="215" t="inlineStr">
        <is>
          <t>[ 3축 단계 컷오프 — 점수→1/2/3단계 ]</t>
        </is>
      </c>
    </row>
    <row r="20" ht="15" customHeight="1" s="192">
      <c r="A20" s="216" t="inlineStr">
        <is>
          <t>축</t>
        </is>
      </c>
      <c r="B20" s="224" t="inlineStr">
        <is>
          <t>1단계 상한</t>
        </is>
      </c>
      <c r="C20" s="224" t="inlineStr">
        <is>
          <t>2단계 상한</t>
        </is>
      </c>
      <c r="D20" s="224" t="inlineStr">
        <is>
          <t>3단계(초과)</t>
        </is>
      </c>
      <c r="E20" s="216" t="inlineStr">
        <is>
          <t>만점</t>
        </is>
      </c>
    </row>
    <row r="21" ht="15" customHeight="1" s="192">
      <c r="A21" s="196" t="inlineStr">
        <is>
          <t>선천</t>
        </is>
      </c>
      <c r="B21" s="218" t="n">
        <v>14</v>
      </c>
      <c r="C21" s="218" t="n">
        <v>28</v>
      </c>
      <c r="D21" s="210" t="inlineStr">
        <is>
          <t>~40</t>
        </is>
      </c>
      <c r="E21" s="210" t="n">
        <v>40</v>
      </c>
    </row>
    <row r="22" ht="15" customHeight="1" s="192">
      <c r="A22" s="196" t="inlineStr">
        <is>
          <t>대사</t>
        </is>
      </c>
      <c r="B22" s="218" t="n">
        <v>11</v>
      </c>
      <c r="C22" s="218" t="n">
        <v>24</v>
      </c>
      <c r="D22" s="210" t="inlineStr">
        <is>
          <t>~35</t>
        </is>
      </c>
      <c r="E22" s="210" t="n">
        <v>35</v>
      </c>
    </row>
    <row r="23" ht="15" customHeight="1" s="192">
      <c r="A23" s="196" t="inlineStr">
        <is>
          <t>생활</t>
        </is>
      </c>
      <c r="B23" s="218" t="n">
        <v>8</v>
      </c>
      <c r="C23" s="218" t="n">
        <v>17</v>
      </c>
      <c r="D23" s="210" t="inlineStr">
        <is>
          <t>~25</t>
        </is>
      </c>
      <c r="E23" s="210" t="n">
        <v>25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G1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91" min="1" max="1"/>
    <col width="6" customWidth="1" style="191" min="2" max="2"/>
    <col width="5" customWidth="1" style="191" min="3" max="3"/>
    <col width="40" customWidth="1" style="191" min="4" max="4"/>
    <col width="9" customWidth="1" style="191" min="5" max="5"/>
    <col width="8" customWidth="1" style="191" min="6" max="6"/>
    <col width="7" customWidth="1" style="191" min="7" max="7"/>
  </cols>
  <sheetData>
    <row r="2" ht="22.5" customHeight="1" s="192">
      <c r="B2" s="225" t="inlineStr">
        <is>
          <t>① 설문 90문항 (흡수30·활동30·저장30)</t>
        </is>
      </c>
    </row>
    <row r="3" ht="15" customHeight="1" s="192">
      <c r="B3" s="226" t="inlineStr">
        <is>
          <t>★성격=몸(파랑)/습관(주황)/정신(초록) | 출제○=24문항 선별(축당8) | 가중=핵심1.5·일반1.0·보조0.8</t>
        </is>
      </c>
    </row>
    <row r="4" ht="15" customHeight="1" s="192">
      <c r="B4" s="227" t="inlineStr">
        <is>
          <t>📋 선택지(4단계): 전혀 아니다(0) · 아니다(1) · 그렇다(2) · 매우 그렇다(3)  |  역방향=뒤집어 계산(3-점수)</t>
        </is>
      </c>
    </row>
    <row r="5" ht="18.75" customHeight="1" s="192">
      <c r="B5" s="228" t="inlineStr">
        <is>
          <t>【흡수력】 a1~a30</t>
        </is>
      </c>
    </row>
    <row r="6" ht="15" customHeight="1" s="192">
      <c r="B6" s="229" t="inlineStr">
        <is>
          <t>ID</t>
        </is>
      </c>
      <c r="C6" s="230" t="inlineStr">
        <is>
          <t>방향</t>
        </is>
      </c>
      <c r="D6" s="230" t="inlineStr">
        <is>
          <t>문항</t>
        </is>
      </c>
      <c r="E6" s="230" t="inlineStr">
        <is>
          <t>성격</t>
        </is>
      </c>
      <c r="F6" s="230" t="inlineStr">
        <is>
          <t>출제</t>
        </is>
      </c>
      <c r="G6" s="230" t="inlineStr">
        <is>
          <t>가중</t>
        </is>
      </c>
    </row>
    <row r="7" ht="15" customHeight="1" s="192">
      <c r="B7" s="231" t="inlineStr">
        <is>
          <t>a1</t>
        </is>
      </c>
      <c r="C7" s="232" t="inlineStr">
        <is>
          <t>정</t>
        </is>
      </c>
      <c r="D7" s="233" t="inlineStr">
        <is>
          <t>식당에 가면 메뉴판을 꼼꼼히 본다</t>
        </is>
      </c>
      <c r="E7" s="234" t="inlineStr">
        <is>
          <t>정신</t>
        </is>
      </c>
      <c r="G7" s="235" t="n">
        <v>0.8</v>
      </c>
    </row>
    <row r="8" ht="15" customHeight="1" s="192">
      <c r="B8" s="231" t="inlineStr">
        <is>
          <t>a2</t>
        </is>
      </c>
      <c r="C8" s="236" t="inlineStr">
        <is>
          <t>정</t>
        </is>
      </c>
      <c r="D8" s="237" t="inlineStr">
        <is>
          <t>음식 냄새만 맡아도 배가 고파진다</t>
        </is>
      </c>
      <c r="E8" s="238" t="inlineStr">
        <is>
          <t>몸</t>
        </is>
      </c>
      <c r="G8" s="235" t="n">
        <v>1</v>
      </c>
    </row>
    <row r="9" ht="15" customHeight="1" s="192">
      <c r="B9" s="231" t="inlineStr">
        <is>
          <t>a3</t>
        </is>
      </c>
      <c r="C9" s="232" t="inlineStr">
        <is>
          <t>역</t>
        </is>
      </c>
      <c r="D9" s="233" t="inlineStr">
        <is>
          <t>밥상 앞에 앉으면 입맛이 없다</t>
        </is>
      </c>
      <c r="E9" s="238" t="inlineStr">
        <is>
          <t>몸</t>
        </is>
      </c>
      <c r="F9" s="239" t="inlineStr">
        <is>
          <t>○</t>
        </is>
      </c>
      <c r="G9" s="240" t="n">
        <v>1.5</v>
      </c>
    </row>
    <row r="10" ht="15" customHeight="1" s="192">
      <c r="B10" s="231" t="inlineStr">
        <is>
          <t>a4</t>
        </is>
      </c>
      <c r="C10" s="236" t="inlineStr">
        <is>
          <t>정</t>
        </is>
      </c>
      <c r="D10" s="237" t="inlineStr">
        <is>
          <t>반찬도 골고루 잘 먹는다</t>
        </is>
      </c>
      <c r="E10" s="241" t="inlineStr">
        <is>
          <t>습관</t>
        </is>
      </c>
      <c r="F10" s="239" t="inlineStr">
        <is>
          <t>○</t>
        </is>
      </c>
      <c r="G10" s="240" t="n">
        <v>1.5</v>
      </c>
    </row>
    <row r="11" ht="15" customHeight="1" s="192">
      <c r="B11" s="231" t="inlineStr">
        <is>
          <t>a5</t>
        </is>
      </c>
      <c r="C11" s="232" t="inlineStr">
        <is>
          <t>정</t>
        </is>
      </c>
      <c r="D11" s="233" t="inlineStr">
        <is>
          <t>밥 냄새 맡으면 저절로 주방으로 간다</t>
        </is>
      </c>
      <c r="E11" s="234" t="inlineStr">
        <is>
          <t>정신</t>
        </is>
      </c>
      <c r="G11" s="235" t="n">
        <v>0.8</v>
      </c>
    </row>
    <row r="12" ht="15" customHeight="1" s="192">
      <c r="B12" s="231" t="inlineStr">
        <is>
          <t>a6</t>
        </is>
      </c>
      <c r="C12" s="236" t="inlineStr">
        <is>
          <t>역</t>
        </is>
      </c>
      <c r="D12" s="237" t="inlineStr">
        <is>
          <t>배탈이 자주 나는 편이다</t>
        </is>
      </c>
      <c r="E12" s="238" t="inlineStr">
        <is>
          <t>몸</t>
        </is>
      </c>
      <c r="F12" s="239" t="inlineStr">
        <is>
          <t>○</t>
        </is>
      </c>
      <c r="G12" s="240" t="n">
        <v>1.5</v>
      </c>
    </row>
    <row r="13" ht="15" customHeight="1" s="192">
      <c r="B13" s="231" t="inlineStr">
        <is>
          <t>a7</t>
        </is>
      </c>
      <c r="C13" s="232" t="inlineStr">
        <is>
          <t>정</t>
        </is>
      </c>
      <c r="D13" s="233" t="inlineStr">
        <is>
          <t>새로운 음식도 호기심 있게 먹어본다</t>
        </is>
      </c>
      <c r="E13" s="234" t="inlineStr">
        <is>
          <t>정신</t>
        </is>
      </c>
      <c r="G13" s="235" t="n">
        <v>1</v>
      </c>
    </row>
    <row r="14" ht="15" customHeight="1" s="192">
      <c r="B14" s="231" t="inlineStr">
        <is>
          <t>a8</t>
        </is>
      </c>
      <c r="C14" s="236" t="inlineStr">
        <is>
          <t>정</t>
        </is>
      </c>
      <c r="D14" s="237" t="inlineStr">
        <is>
          <t>한 번 먹을 때 양이 많은 편이다</t>
        </is>
      </c>
      <c r="E14" s="241" t="inlineStr">
        <is>
          <t>습관</t>
        </is>
      </c>
      <c r="F14" s="239" t="inlineStr">
        <is>
          <t>○</t>
        </is>
      </c>
      <c r="G14" s="240" t="n">
        <v>1.5</v>
      </c>
    </row>
    <row r="15" ht="15" customHeight="1" s="192">
      <c r="B15" s="231" t="inlineStr">
        <is>
          <t>a9</t>
        </is>
      </c>
      <c r="C15" s="232" t="inlineStr">
        <is>
          <t>역</t>
        </is>
      </c>
      <c r="D15" s="233" t="inlineStr">
        <is>
          <t>편식이 심해서 먹는 게 한정적이다</t>
        </is>
      </c>
      <c r="E15" s="241" t="inlineStr">
        <is>
          <t>습관</t>
        </is>
      </c>
      <c r="F15" s="239" t="inlineStr">
        <is>
          <t>○</t>
        </is>
      </c>
      <c r="G15" s="240" t="n">
        <v>1.5</v>
      </c>
    </row>
    <row r="16" ht="15" customHeight="1" s="192">
      <c r="B16" s="231" t="inlineStr">
        <is>
          <t>a10</t>
        </is>
      </c>
      <c r="C16" s="236" t="inlineStr">
        <is>
          <t>정</t>
        </is>
      </c>
      <c r="D16" s="237" t="inlineStr">
        <is>
          <t>화장실을 매일 시원하게 다녀온다</t>
        </is>
      </c>
      <c r="E16" s="238" t="inlineStr">
        <is>
          <t>몸</t>
        </is>
      </c>
      <c r="F16" s="239" t="inlineStr">
        <is>
          <t>○</t>
        </is>
      </c>
      <c r="G16" s="240" t="n">
        <v>1.5</v>
      </c>
    </row>
    <row r="17" ht="15" customHeight="1" s="192">
      <c r="B17" s="231" t="inlineStr">
        <is>
          <t>a11</t>
        </is>
      </c>
      <c r="C17" s="232" t="inlineStr">
        <is>
          <t>정</t>
        </is>
      </c>
      <c r="D17" s="233" t="inlineStr">
        <is>
          <t>급식 메뉴가 대체로 다 맛있다</t>
        </is>
      </c>
      <c r="E17" s="234" t="inlineStr">
        <is>
          <t>정신</t>
        </is>
      </c>
      <c r="G17" s="235" t="n">
        <v>0.8</v>
      </c>
    </row>
    <row r="18" ht="15" customHeight="1" s="192">
      <c r="B18" s="231" t="inlineStr">
        <is>
          <t>a12</t>
        </is>
      </c>
      <c r="C18" s="236" t="inlineStr">
        <is>
          <t>역</t>
        </is>
      </c>
      <c r="D18" s="237" t="inlineStr">
        <is>
          <t>먹어도 영양분이 흡수가 안 되는 느낌이다</t>
        </is>
      </c>
      <c r="E18" s="238" t="inlineStr">
        <is>
          <t>몸</t>
        </is>
      </c>
      <c r="G18" s="235" t="n">
        <v>1</v>
      </c>
    </row>
    <row r="19" ht="15" customHeight="1" s="192">
      <c r="B19" s="231" t="inlineStr">
        <is>
          <t>a13</t>
        </is>
      </c>
      <c r="C19" s="232" t="inlineStr">
        <is>
          <t>정</t>
        </is>
      </c>
      <c r="D19" s="233" t="inlineStr">
        <is>
          <t>밥을 남기지 않고 다 먹는다</t>
        </is>
      </c>
      <c r="E19" s="241" t="inlineStr">
        <is>
          <t>습관</t>
        </is>
      </c>
      <c r="G19" s="235" t="n">
        <v>1</v>
      </c>
    </row>
    <row r="20" ht="15" customHeight="1" s="192">
      <c r="B20" s="231" t="inlineStr">
        <is>
          <t>a14</t>
        </is>
      </c>
      <c r="C20" s="236" t="inlineStr">
        <is>
          <t>정</t>
        </is>
      </c>
      <c r="D20" s="237" t="inlineStr">
        <is>
          <t>음식 사진만 봐도 침이 고인다</t>
        </is>
      </c>
      <c r="E20" s="234" t="inlineStr">
        <is>
          <t>정신</t>
        </is>
      </c>
      <c r="G20" s="235" t="n">
        <v>0.8</v>
      </c>
    </row>
    <row r="21" ht="15" customHeight="1" s="192">
      <c r="B21" s="231" t="inlineStr">
        <is>
          <t>a15</t>
        </is>
      </c>
      <c r="C21" s="232" t="inlineStr">
        <is>
          <t>역</t>
        </is>
      </c>
      <c r="D21" s="233" t="inlineStr">
        <is>
          <t>아침밥을 잘 못 먹는다</t>
        </is>
      </c>
      <c r="E21" s="241" t="inlineStr">
        <is>
          <t>습관</t>
        </is>
      </c>
      <c r="G21" s="235" t="n">
        <v>1</v>
      </c>
    </row>
    <row r="22" ht="15" customHeight="1" s="192">
      <c r="B22" s="231" t="inlineStr">
        <is>
          <t>a16</t>
        </is>
      </c>
      <c r="C22" s="236" t="inlineStr">
        <is>
          <t>정</t>
        </is>
      </c>
      <c r="D22" s="237" t="inlineStr">
        <is>
          <t>식사 시간을 기다린다</t>
        </is>
      </c>
      <c r="E22" s="234" t="inlineStr">
        <is>
          <t>정신</t>
        </is>
      </c>
      <c r="G22" s="235" t="n">
        <v>0.8</v>
      </c>
    </row>
    <row r="23" ht="15" customHeight="1" s="192">
      <c r="B23" s="231" t="inlineStr">
        <is>
          <t>a17</t>
        </is>
      </c>
      <c r="C23" s="232" t="inlineStr">
        <is>
          <t>정</t>
        </is>
      </c>
      <c r="D23" s="233" t="inlineStr">
        <is>
          <t>외식하면 평소보다 더 잘 먹는다</t>
        </is>
      </c>
      <c r="E23" s="241" t="inlineStr">
        <is>
          <t>습관</t>
        </is>
      </c>
      <c r="G23" s="235" t="n">
        <v>0.8</v>
      </c>
    </row>
    <row r="24" ht="15" customHeight="1" s="192">
      <c r="B24" s="231" t="inlineStr">
        <is>
          <t>a18</t>
        </is>
      </c>
      <c r="C24" s="236" t="inlineStr">
        <is>
          <t>역</t>
        </is>
      </c>
      <c r="D24" s="237" t="inlineStr">
        <is>
          <t>영양제를 먹으면 속이 불편하다</t>
        </is>
      </c>
      <c r="E24" s="238" t="inlineStr">
        <is>
          <t>몸</t>
        </is>
      </c>
      <c r="G24" s="235" t="n">
        <v>1</v>
      </c>
    </row>
    <row r="25" ht="15" customHeight="1" s="192">
      <c r="B25" s="231" t="inlineStr">
        <is>
          <t>a19</t>
        </is>
      </c>
      <c r="C25" s="232" t="inlineStr">
        <is>
          <t>정</t>
        </is>
      </c>
      <c r="D25" s="233" t="inlineStr">
        <is>
          <t>배고프다는 말을 자주 한다</t>
        </is>
      </c>
      <c r="E25" s="234" t="inlineStr">
        <is>
          <t>정신</t>
        </is>
      </c>
      <c r="G25" s="235" t="n">
        <v>0.8</v>
      </c>
    </row>
    <row r="26" ht="15" customHeight="1" s="192">
      <c r="B26" s="231" t="inlineStr">
        <is>
          <t>a20</t>
        </is>
      </c>
      <c r="C26" s="236" t="inlineStr">
        <is>
          <t>정</t>
        </is>
      </c>
      <c r="D26" s="237" t="inlineStr">
        <is>
          <t>맛집 가자고 먼저 조른다</t>
        </is>
      </c>
      <c r="E26" s="234" t="inlineStr">
        <is>
          <t>정신</t>
        </is>
      </c>
      <c r="G26" s="235" t="n">
        <v>0.8</v>
      </c>
    </row>
    <row r="27" ht="15" customHeight="1" s="192">
      <c r="B27" s="231" t="inlineStr">
        <is>
          <t>a21</t>
        </is>
      </c>
      <c r="C27" s="232" t="inlineStr">
        <is>
          <t>역</t>
        </is>
      </c>
      <c r="D27" s="233" t="inlineStr">
        <is>
          <t>입이 짧아서 조금만 먹어도 그만이다</t>
        </is>
      </c>
      <c r="E27" s="241" t="inlineStr">
        <is>
          <t>습관</t>
        </is>
      </c>
      <c r="F27" s="239" t="inlineStr">
        <is>
          <t>○</t>
        </is>
      </c>
      <c r="G27" s="235" t="n">
        <v>1</v>
      </c>
    </row>
    <row r="28" ht="15" customHeight="1" s="192">
      <c r="B28" s="231" t="inlineStr">
        <is>
          <t>a22</t>
        </is>
      </c>
      <c r="C28" s="236" t="inlineStr">
        <is>
          <t>정</t>
        </is>
      </c>
      <c r="D28" s="237" t="inlineStr">
        <is>
          <t>새 반찬이 나오면 먼저 맛본다</t>
        </is>
      </c>
      <c r="E28" s="234" t="inlineStr">
        <is>
          <t>정신</t>
        </is>
      </c>
      <c r="G28" s="235" t="n">
        <v>0.8</v>
      </c>
    </row>
    <row r="29" ht="15" customHeight="1" s="192">
      <c r="B29" s="231" t="inlineStr">
        <is>
          <t>a23</t>
        </is>
      </c>
      <c r="C29" s="232" t="inlineStr">
        <is>
          <t>역</t>
        </is>
      </c>
      <c r="D29" s="233" t="inlineStr">
        <is>
          <t>밥 먹는 속도가 또래보다 느리다</t>
        </is>
      </c>
      <c r="E29" s="241" t="inlineStr">
        <is>
          <t>습관</t>
        </is>
      </c>
      <c r="G29" s="235" t="n">
        <v>1</v>
      </c>
    </row>
    <row r="30" ht="15" customHeight="1" s="192">
      <c r="B30" s="231" t="inlineStr">
        <is>
          <t>a24</t>
        </is>
      </c>
      <c r="C30" s="236" t="inlineStr">
        <is>
          <t>정</t>
        </is>
      </c>
      <c r="D30" s="237" t="inlineStr">
        <is>
          <t>먹는 걸 좋아한다고 자주 말한다</t>
        </is>
      </c>
      <c r="E30" s="234" t="inlineStr">
        <is>
          <t>정신</t>
        </is>
      </c>
      <c r="G30" s="235" t="n">
        <v>0.8</v>
      </c>
    </row>
    <row r="31" ht="15" customHeight="1" s="192">
      <c r="B31" s="231" t="inlineStr">
        <is>
          <t>a25</t>
        </is>
      </c>
      <c r="C31" s="232" t="inlineStr">
        <is>
          <t>정</t>
        </is>
      </c>
      <c r="D31" s="233" t="inlineStr">
        <is>
          <t>한 그릇 뚝딱 비우고 더 달라고 한다</t>
        </is>
      </c>
      <c r="E31" s="241" t="inlineStr">
        <is>
          <t>습관</t>
        </is>
      </c>
      <c r="F31" s="239" t="inlineStr">
        <is>
          <t>○</t>
        </is>
      </c>
      <c r="G31" s="235" t="n">
        <v>1</v>
      </c>
    </row>
    <row r="32" ht="15" customHeight="1" s="192">
      <c r="B32" s="231" t="inlineStr">
        <is>
          <t>a26</t>
        </is>
      </c>
      <c r="C32" s="236" t="inlineStr">
        <is>
          <t>역</t>
        </is>
      </c>
      <c r="D32" s="237" t="inlineStr">
        <is>
          <t>먹는 것에 별로 관심이 없다</t>
        </is>
      </c>
      <c r="E32" s="234" t="inlineStr">
        <is>
          <t>정신</t>
        </is>
      </c>
      <c r="G32" s="235" t="n">
        <v>0.8</v>
      </c>
    </row>
    <row r="33" ht="15" customHeight="1" s="192">
      <c r="B33" s="231" t="inlineStr">
        <is>
          <t>a27</t>
        </is>
      </c>
      <c r="C33" s="232" t="inlineStr">
        <is>
          <t>정</t>
        </is>
      </c>
      <c r="D33" s="233" t="inlineStr">
        <is>
          <t>맛있게 먹고 소화도 잘 시킨다</t>
        </is>
      </c>
      <c r="E33" s="238" t="inlineStr">
        <is>
          <t>몸</t>
        </is>
      </c>
      <c r="G33" s="235" t="n">
        <v>1</v>
      </c>
    </row>
    <row r="34" ht="15" customHeight="1" s="192">
      <c r="B34" s="231" t="inlineStr">
        <is>
          <t>a28</t>
        </is>
      </c>
      <c r="C34" s="236" t="inlineStr">
        <is>
          <t>역</t>
        </is>
      </c>
      <c r="D34" s="237" t="inlineStr">
        <is>
          <t>우유나 기름진 음식 먹으면 배가 아프다</t>
        </is>
      </c>
      <c r="E34" s="238" t="inlineStr">
        <is>
          <t>몸</t>
        </is>
      </c>
      <c r="G34" s="235" t="n">
        <v>1</v>
      </c>
    </row>
    <row r="35" ht="15" customHeight="1" s="192">
      <c r="B35" s="231" t="inlineStr">
        <is>
          <t>a29</t>
        </is>
      </c>
      <c r="C35" s="232" t="inlineStr">
        <is>
          <t>정</t>
        </is>
      </c>
      <c r="D35" s="233" t="inlineStr">
        <is>
          <t>먹고 싶은 음식이 늘 분명하다</t>
        </is>
      </c>
      <c r="E35" s="234" t="inlineStr">
        <is>
          <t>정신</t>
        </is>
      </c>
      <c r="G35" s="235" t="n">
        <v>0.8</v>
      </c>
    </row>
    <row r="36" ht="15" customHeight="1" s="192">
      <c r="B36" s="231" t="inlineStr">
        <is>
          <t>a30</t>
        </is>
      </c>
      <c r="C36" s="236" t="inlineStr">
        <is>
          <t>정</t>
        </is>
      </c>
      <c r="D36" s="237" t="inlineStr">
        <is>
          <t>간식을 입에 달고 산다</t>
        </is>
      </c>
      <c r="E36" s="241" t="inlineStr">
        <is>
          <t>습관</t>
        </is>
      </c>
      <c r="G36" s="235" t="n">
        <v>0.8</v>
      </c>
    </row>
    <row r="38" ht="18.75" customHeight="1" s="192">
      <c r="B38" s="228" t="inlineStr">
        <is>
          <t>【활동력】 b1~b30</t>
        </is>
      </c>
    </row>
    <row r="39" ht="15" customHeight="1" s="192">
      <c r="B39" s="229" t="inlineStr">
        <is>
          <t>ID</t>
        </is>
      </c>
      <c r="C39" s="230" t="inlineStr">
        <is>
          <t>방향</t>
        </is>
      </c>
      <c r="D39" s="230" t="inlineStr">
        <is>
          <t>문항</t>
        </is>
      </c>
      <c r="E39" s="230" t="inlineStr">
        <is>
          <t>성격</t>
        </is>
      </c>
      <c r="F39" s="230" t="inlineStr">
        <is>
          <t>출제</t>
        </is>
      </c>
      <c r="G39" s="230" t="inlineStr">
        <is>
          <t>가중</t>
        </is>
      </c>
    </row>
    <row r="40" ht="15" customHeight="1" s="192">
      <c r="B40" s="242" t="inlineStr">
        <is>
          <t>b1</t>
        </is>
      </c>
      <c r="C40" s="232" t="inlineStr">
        <is>
          <t>정</t>
        </is>
      </c>
      <c r="D40" s="233" t="inlineStr">
        <is>
          <t>쉬는 시간이면 어느새 매점 앞에 와 있다</t>
        </is>
      </c>
      <c r="E40" s="241" t="inlineStr">
        <is>
          <t>습관</t>
        </is>
      </c>
      <c r="G40" s="235" t="n">
        <v>0.8</v>
      </c>
    </row>
    <row r="41" ht="15" customHeight="1" s="192">
      <c r="B41" s="242" t="inlineStr">
        <is>
          <t>b2</t>
        </is>
      </c>
      <c r="C41" s="236" t="inlineStr">
        <is>
          <t>정</t>
        </is>
      </c>
      <c r="D41" s="237" t="inlineStr">
        <is>
          <t>밥 먹고 1시간도 안 돼서 또 배고프다</t>
        </is>
      </c>
      <c r="E41" s="238" t="inlineStr">
        <is>
          <t>몸</t>
        </is>
      </c>
      <c r="F41" s="239" t="inlineStr">
        <is>
          <t>○</t>
        </is>
      </c>
      <c r="G41" s="240" t="n">
        <v>1.5</v>
      </c>
    </row>
    <row r="42" ht="15" customHeight="1" s="192">
      <c r="B42" s="242" t="inlineStr">
        <is>
          <t>b3</t>
        </is>
      </c>
      <c r="C42" s="232" t="inlineStr">
        <is>
          <t>역</t>
        </is>
      </c>
      <c r="D42" s="233" t="inlineStr">
        <is>
          <t>조금만 움직여도 쉽게 지친다</t>
        </is>
      </c>
      <c r="E42" s="238" t="inlineStr">
        <is>
          <t>몸</t>
        </is>
      </c>
      <c r="F42" s="239" t="inlineStr">
        <is>
          <t>○</t>
        </is>
      </c>
      <c r="G42" s="240" t="n">
        <v>1.5</v>
      </c>
    </row>
    <row r="43" ht="15" customHeight="1" s="192">
      <c r="B43" s="242" t="inlineStr">
        <is>
          <t>b4</t>
        </is>
      </c>
      <c r="C43" s="236" t="inlineStr">
        <is>
          <t>정</t>
        </is>
      </c>
      <c r="D43" s="237" t="inlineStr">
        <is>
          <t>가만히 있질 못하고 항상 움직인다</t>
        </is>
      </c>
      <c r="E43" s="241" t="inlineStr">
        <is>
          <t>습관</t>
        </is>
      </c>
      <c r="F43" s="239" t="inlineStr">
        <is>
          <t>○</t>
        </is>
      </c>
      <c r="G43" s="240" t="n">
        <v>1.5</v>
      </c>
    </row>
    <row r="44" ht="15" customHeight="1" s="192">
      <c r="B44" s="242" t="inlineStr">
        <is>
          <t>b5</t>
        </is>
      </c>
      <c r="C44" s="232" t="inlineStr">
        <is>
          <t>정</t>
        </is>
      </c>
      <c r="D44" s="233" t="inlineStr">
        <is>
          <t>체육 시간을 제일 기다린다</t>
        </is>
      </c>
      <c r="E44" s="234" t="inlineStr">
        <is>
          <t>정신</t>
        </is>
      </c>
      <c r="G44" s="235" t="n">
        <v>1</v>
      </c>
    </row>
    <row r="45" ht="15" customHeight="1" s="192">
      <c r="B45" s="242" t="inlineStr">
        <is>
          <t>b6</t>
        </is>
      </c>
      <c r="C45" s="236" t="inlineStr">
        <is>
          <t>역</t>
        </is>
      </c>
      <c r="D45" s="237" t="inlineStr">
        <is>
          <t>추위를 많이 타고 손발이 차갑다</t>
        </is>
      </c>
      <c r="E45" s="238" t="inlineStr">
        <is>
          <t>몸</t>
        </is>
      </c>
      <c r="G45" s="235" t="n">
        <v>1</v>
      </c>
    </row>
    <row r="46" ht="15" customHeight="1" s="192">
      <c r="B46" s="242" t="inlineStr">
        <is>
          <t>b7</t>
        </is>
      </c>
      <c r="C46" s="232" t="inlineStr">
        <is>
          <t>정</t>
        </is>
      </c>
      <c r="D46" s="233" t="inlineStr">
        <is>
          <t>운동하고 나면 꼭 뭔가 먹어야 한다</t>
        </is>
      </c>
      <c r="E46" s="241" t="inlineStr">
        <is>
          <t>습관</t>
        </is>
      </c>
      <c r="G46" s="235" t="n">
        <v>1</v>
      </c>
    </row>
    <row r="47" ht="15" customHeight="1" s="192">
      <c r="B47" s="242" t="inlineStr">
        <is>
          <t>b8</t>
        </is>
      </c>
      <c r="C47" s="236" t="inlineStr">
        <is>
          <t>역</t>
        </is>
      </c>
      <c r="D47" s="237" t="inlineStr">
        <is>
          <t>아침에 일어나면 몸이 무겁고 처진다</t>
        </is>
      </c>
      <c r="E47" s="238" t="inlineStr">
        <is>
          <t>몸</t>
        </is>
      </c>
      <c r="G47" s="235" t="n">
        <v>1</v>
      </c>
    </row>
    <row r="48" ht="15" customHeight="1" s="192">
      <c r="B48" s="242" t="inlineStr">
        <is>
          <t>b9</t>
        </is>
      </c>
      <c r="C48" s="232" t="inlineStr">
        <is>
          <t>정</t>
        </is>
      </c>
      <c r="D48" s="233" t="inlineStr">
        <is>
          <t>조금만 뛰어도 땀이 엄청 난다</t>
        </is>
      </c>
      <c r="E48" s="238" t="inlineStr">
        <is>
          <t>몸</t>
        </is>
      </c>
      <c r="F48" s="239" t="inlineStr">
        <is>
          <t>○</t>
        </is>
      </c>
      <c r="G48" s="235" t="n">
        <v>1</v>
      </c>
    </row>
    <row r="49" ht="15" customHeight="1" s="192">
      <c r="B49" s="242" t="inlineStr">
        <is>
          <t>b10</t>
        </is>
      </c>
      <c r="C49" s="236" t="inlineStr">
        <is>
          <t>역</t>
        </is>
      </c>
      <c r="D49" s="237" t="inlineStr">
        <is>
          <t>활동량이 적고 느긋한 편이다</t>
        </is>
      </c>
      <c r="E49" s="241" t="inlineStr">
        <is>
          <t>습관</t>
        </is>
      </c>
      <c r="F49" s="239" t="inlineStr">
        <is>
          <t>○</t>
        </is>
      </c>
      <c r="G49" s="240" t="n">
        <v>1.5</v>
      </c>
    </row>
    <row r="50" ht="15" customHeight="1" s="192">
      <c r="B50" s="242" t="inlineStr">
        <is>
          <t>b11</t>
        </is>
      </c>
      <c r="C50" s="232" t="inlineStr">
        <is>
          <t>정</t>
        </is>
      </c>
      <c r="D50" s="233" t="inlineStr">
        <is>
          <t>학교 마치고 오면 항상 배고프다</t>
        </is>
      </c>
      <c r="E50" s="241" t="inlineStr">
        <is>
          <t>습관</t>
        </is>
      </c>
      <c r="G50" s="235" t="n">
        <v>0.8</v>
      </c>
    </row>
    <row r="51" ht="15" customHeight="1" s="192">
      <c r="B51" s="242" t="inlineStr">
        <is>
          <t>b12</t>
        </is>
      </c>
      <c r="C51" s="236" t="inlineStr">
        <is>
          <t>역</t>
        </is>
      </c>
      <c r="D51" s="237" t="inlineStr">
        <is>
          <t>쉽게 피곤하다고 말한다</t>
        </is>
      </c>
      <c r="E51" s="238" t="inlineStr">
        <is>
          <t>몸</t>
        </is>
      </c>
      <c r="G51" s="235" t="n">
        <v>1</v>
      </c>
    </row>
    <row r="52" ht="15" customHeight="1" s="192">
      <c r="B52" s="242" t="inlineStr">
        <is>
          <t>b13</t>
        </is>
      </c>
      <c r="C52" s="232" t="inlineStr">
        <is>
          <t>정</t>
        </is>
      </c>
      <c r="D52" s="233" t="inlineStr">
        <is>
          <t>걸을 때보다 뛸 때가 더 많다</t>
        </is>
      </c>
      <c r="E52" s="241" t="inlineStr">
        <is>
          <t>습관</t>
        </is>
      </c>
      <c r="G52" s="235" t="n">
        <v>1</v>
      </c>
    </row>
    <row r="53" ht="15" customHeight="1" s="192">
      <c r="B53" s="242" t="inlineStr">
        <is>
          <t>b14</t>
        </is>
      </c>
      <c r="C53" s="236" t="inlineStr">
        <is>
          <t>역</t>
        </is>
      </c>
      <c r="D53" s="237" t="inlineStr">
        <is>
          <t>몸 쓰는 활동을 귀찮아한다</t>
        </is>
      </c>
      <c r="E53" s="234" t="inlineStr">
        <is>
          <t>정신</t>
        </is>
      </c>
      <c r="G53" s="235" t="n">
        <v>1</v>
      </c>
    </row>
    <row r="54" ht="15" customHeight="1" s="192">
      <c r="B54" s="242" t="inlineStr">
        <is>
          <t>b15</t>
        </is>
      </c>
      <c r="C54" s="232" t="inlineStr">
        <is>
          <t>정</t>
        </is>
      </c>
      <c r="D54" s="233" t="inlineStr">
        <is>
          <t>친구들이 지쳐도 혼자 멀쩡하다</t>
        </is>
      </c>
      <c r="E54" s="238" t="inlineStr">
        <is>
          <t>몸</t>
        </is>
      </c>
      <c r="G54" s="235" t="n">
        <v>1</v>
      </c>
    </row>
    <row r="55" ht="15" customHeight="1" s="192">
      <c r="B55" s="242" t="inlineStr">
        <is>
          <t>b16</t>
        </is>
      </c>
      <c r="C55" s="236" t="inlineStr">
        <is>
          <t>정</t>
        </is>
      </c>
      <c r="D55" s="237" t="inlineStr">
        <is>
          <t>운동회 날이 제일 신난다</t>
        </is>
      </c>
      <c r="E55" s="234" t="inlineStr">
        <is>
          <t>정신</t>
        </is>
      </c>
      <c r="G55" s="235" t="n">
        <v>0.8</v>
      </c>
    </row>
    <row r="56" ht="15" customHeight="1" s="192">
      <c r="B56" s="242" t="inlineStr">
        <is>
          <t>b17</t>
        </is>
      </c>
      <c r="C56" s="232" t="inlineStr">
        <is>
          <t>정</t>
        </is>
      </c>
      <c r="D56" s="233" t="inlineStr">
        <is>
          <t>숨이 차도 끝까지 뛰어다닌다</t>
        </is>
      </c>
      <c r="E56" s="234" t="inlineStr">
        <is>
          <t>정신</t>
        </is>
      </c>
      <c r="G56" s="235" t="n">
        <v>0.8</v>
      </c>
    </row>
    <row r="57" ht="15" customHeight="1" s="192">
      <c r="B57" s="242" t="inlineStr">
        <is>
          <t>b18</t>
        </is>
      </c>
      <c r="C57" s="236" t="inlineStr">
        <is>
          <t>정</t>
        </is>
      </c>
      <c r="D57" s="237" t="inlineStr">
        <is>
          <t>먹는 양에 비해 살이 잘 안 찐다</t>
        </is>
      </c>
      <c r="E57" s="238" t="inlineStr">
        <is>
          <t>몸</t>
        </is>
      </c>
      <c r="F57" s="239" t="inlineStr">
        <is>
          <t>○</t>
        </is>
      </c>
      <c r="G57" s="240" t="n">
        <v>1.5</v>
      </c>
    </row>
    <row r="58" ht="15" customHeight="1" s="192">
      <c r="B58" s="242" t="inlineStr">
        <is>
          <t>b19</t>
        </is>
      </c>
      <c r="C58" s="232" t="inlineStr">
        <is>
          <t>역</t>
        </is>
      </c>
      <c r="D58" s="233" t="inlineStr">
        <is>
          <t>하루 대부분을 실내에서 보낸다</t>
        </is>
      </c>
      <c r="E58" s="241" t="inlineStr">
        <is>
          <t>습관</t>
        </is>
      </c>
      <c r="G58" s="235" t="n">
        <v>1</v>
      </c>
    </row>
    <row r="59" ht="15" customHeight="1" s="192">
      <c r="B59" s="242" t="inlineStr">
        <is>
          <t>b20</t>
        </is>
      </c>
      <c r="C59" s="236" t="inlineStr">
        <is>
          <t>정</t>
        </is>
      </c>
      <c r="D59" s="237" t="inlineStr">
        <is>
          <t>활동량 많은 날 컨디션이 더 좋다</t>
        </is>
      </c>
      <c r="E59" s="238" t="inlineStr">
        <is>
          <t>몸</t>
        </is>
      </c>
      <c r="G59" s="235" t="n">
        <v>0.8</v>
      </c>
    </row>
    <row r="60" ht="15" customHeight="1" s="192">
      <c r="B60" s="242" t="inlineStr">
        <is>
          <t>b21</t>
        </is>
      </c>
      <c r="C60" s="232" t="inlineStr">
        <is>
          <t>정</t>
        </is>
      </c>
      <c r="D60" s="233" t="inlineStr">
        <is>
          <t>에너지가 넘친다는 말을 자주 듣는다</t>
        </is>
      </c>
      <c r="E60" s="238" t="inlineStr">
        <is>
          <t>몸</t>
        </is>
      </c>
      <c r="F60" s="239" t="inlineStr">
        <is>
          <t>○</t>
        </is>
      </c>
      <c r="G60" s="235" t="n">
        <v>1</v>
      </c>
    </row>
    <row r="61" ht="15" customHeight="1" s="192">
      <c r="B61" s="242" t="inlineStr">
        <is>
          <t>b22</t>
        </is>
      </c>
      <c r="C61" s="236" t="inlineStr">
        <is>
          <t>역</t>
        </is>
      </c>
      <c r="D61" s="237" t="inlineStr">
        <is>
          <t>늘 나른하고 졸려 한다</t>
        </is>
      </c>
      <c r="E61" s="238" t="inlineStr">
        <is>
          <t>몸</t>
        </is>
      </c>
      <c r="G61" s="235" t="n">
        <v>1</v>
      </c>
    </row>
    <row r="62" ht="15" customHeight="1" s="192">
      <c r="B62" s="242" t="inlineStr">
        <is>
          <t>b23</t>
        </is>
      </c>
      <c r="C62" s="232" t="inlineStr">
        <is>
          <t>정</t>
        </is>
      </c>
      <c r="D62" s="233" t="inlineStr">
        <is>
          <t>몸 쓰는 놀이를 좋아한다</t>
        </is>
      </c>
      <c r="E62" s="234" t="inlineStr">
        <is>
          <t>정신</t>
        </is>
      </c>
      <c r="G62" s="235" t="n">
        <v>0.8</v>
      </c>
    </row>
    <row r="63" ht="15" customHeight="1" s="192">
      <c r="B63" s="242" t="inlineStr">
        <is>
          <t>b24</t>
        </is>
      </c>
      <c r="C63" s="236" t="inlineStr">
        <is>
          <t>정</t>
        </is>
      </c>
      <c r="D63" s="237" t="inlineStr">
        <is>
          <t>아침부터 활발하게 움직인다</t>
        </is>
      </c>
      <c r="E63" s="241" t="inlineStr">
        <is>
          <t>습관</t>
        </is>
      </c>
      <c r="G63" s="235" t="n">
        <v>0.8</v>
      </c>
    </row>
    <row r="64" ht="15" customHeight="1" s="192">
      <c r="B64" s="242" t="inlineStr">
        <is>
          <t>b25</t>
        </is>
      </c>
      <c r="C64" s="232" t="inlineStr">
        <is>
          <t>역</t>
        </is>
      </c>
      <c r="D64" s="233" t="inlineStr">
        <is>
          <t>움직이기보다 쉬는 걸 더 좋아한다</t>
        </is>
      </c>
      <c r="E64" s="234" t="inlineStr">
        <is>
          <t>정신</t>
        </is>
      </c>
      <c r="F64" s="239" t="inlineStr">
        <is>
          <t>○</t>
        </is>
      </c>
      <c r="G64" s="240" t="n">
        <v>1.5</v>
      </c>
    </row>
    <row r="65" ht="15" customHeight="1" s="192">
      <c r="B65" s="242" t="inlineStr">
        <is>
          <t>b26</t>
        </is>
      </c>
      <c r="C65" s="236" t="inlineStr">
        <is>
          <t>정</t>
        </is>
      </c>
      <c r="D65" s="237" t="inlineStr">
        <is>
          <t>잠시도 쉬지 않고 뛰어다닌다</t>
        </is>
      </c>
      <c r="E65" s="241" t="inlineStr">
        <is>
          <t>습관</t>
        </is>
      </c>
      <c r="G65" s="235" t="n">
        <v>0.8</v>
      </c>
    </row>
    <row r="66" ht="15" customHeight="1" s="192">
      <c r="B66" s="242" t="inlineStr">
        <is>
          <t>b27</t>
        </is>
      </c>
      <c r="C66" s="232" t="inlineStr">
        <is>
          <t>정</t>
        </is>
      </c>
      <c r="D66" s="233" t="inlineStr">
        <is>
          <t>몸에서 열이 많은 편이다</t>
        </is>
      </c>
      <c r="E66" s="238" t="inlineStr">
        <is>
          <t>몸</t>
        </is>
      </c>
      <c r="G66" s="235" t="n">
        <v>1</v>
      </c>
    </row>
    <row r="67" ht="15" customHeight="1" s="192">
      <c r="B67" s="242" t="inlineStr">
        <is>
          <t>b28</t>
        </is>
      </c>
      <c r="C67" s="236" t="inlineStr">
        <is>
          <t>정</t>
        </is>
      </c>
      <c r="D67" s="237" t="inlineStr">
        <is>
          <t>운동 후 회복이 빠르다</t>
        </is>
      </c>
      <c r="E67" s="238" t="inlineStr">
        <is>
          <t>몸</t>
        </is>
      </c>
      <c r="G67" s="235" t="n">
        <v>1</v>
      </c>
    </row>
    <row r="68" ht="15" customHeight="1" s="192">
      <c r="B68" s="242" t="inlineStr">
        <is>
          <t>b29</t>
        </is>
      </c>
      <c r="C68" s="232" t="inlineStr">
        <is>
          <t>정</t>
        </is>
      </c>
      <c r="D68" s="233" t="inlineStr">
        <is>
          <t>동작이 빠르고 날쌔다</t>
        </is>
      </c>
      <c r="E68" s="238" t="inlineStr">
        <is>
          <t>몸</t>
        </is>
      </c>
      <c r="G68" s="235" t="n">
        <v>1</v>
      </c>
    </row>
    <row r="69" ht="15" customHeight="1" s="192">
      <c r="B69" s="242" t="inlineStr">
        <is>
          <t>b30</t>
        </is>
      </c>
      <c r="C69" s="236" t="inlineStr">
        <is>
          <t>정</t>
        </is>
      </c>
      <c r="D69" s="237" t="inlineStr">
        <is>
          <t>하루 종일 뛰어놀아도 안 지친다</t>
        </is>
      </c>
      <c r="E69" s="238" t="inlineStr">
        <is>
          <t>몸</t>
        </is>
      </c>
      <c r="G69" s="235" t="n">
        <v>1</v>
      </c>
    </row>
    <row r="71" ht="18.75" customHeight="1" s="192">
      <c r="B71" s="228" t="inlineStr">
        <is>
          <t>【저장력】 s1~s30</t>
        </is>
      </c>
    </row>
    <row r="72" ht="15" customHeight="1" s="192">
      <c r="B72" s="229" t="inlineStr">
        <is>
          <t>ID</t>
        </is>
      </c>
      <c r="C72" s="230" t="inlineStr">
        <is>
          <t>방향</t>
        </is>
      </c>
      <c r="D72" s="230" t="inlineStr">
        <is>
          <t>문항</t>
        </is>
      </c>
      <c r="E72" s="230" t="inlineStr">
        <is>
          <t>성격</t>
        </is>
      </c>
      <c r="F72" s="230" t="inlineStr">
        <is>
          <t>출제</t>
        </is>
      </c>
      <c r="G72" s="230" t="inlineStr">
        <is>
          <t>가중</t>
        </is>
      </c>
    </row>
    <row r="73" ht="15" customHeight="1" s="192">
      <c r="B73" s="243" t="inlineStr">
        <is>
          <t>s1</t>
        </is>
      </c>
      <c r="C73" s="232" t="inlineStr">
        <is>
          <t>정</t>
        </is>
      </c>
      <c r="D73" s="233" t="inlineStr">
        <is>
          <t>배부르면 기분이 좋아진다</t>
        </is>
      </c>
      <c r="E73" s="234" t="inlineStr">
        <is>
          <t>정신</t>
        </is>
      </c>
      <c r="G73" s="235" t="n">
        <v>0.8</v>
      </c>
    </row>
    <row r="74" ht="15" customHeight="1" s="192">
      <c r="B74" s="243" t="inlineStr">
        <is>
          <t>s2</t>
        </is>
      </c>
      <c r="C74" s="236" t="inlineStr">
        <is>
          <t>정</t>
        </is>
      </c>
      <c r="D74" s="237" t="inlineStr">
        <is>
          <t>조금만 먹어도 금방 살이 찐다</t>
        </is>
      </c>
      <c r="E74" s="238" t="inlineStr">
        <is>
          <t>몸</t>
        </is>
      </c>
      <c r="F74" s="239" t="inlineStr">
        <is>
          <t>○</t>
        </is>
      </c>
      <c r="G74" s="240" t="n">
        <v>1.5</v>
      </c>
    </row>
    <row r="75" ht="15" customHeight="1" s="192">
      <c r="B75" s="243" t="inlineStr">
        <is>
          <t>s3</t>
        </is>
      </c>
      <c r="C75" s="232" t="inlineStr">
        <is>
          <t>역</t>
        </is>
      </c>
      <c r="D75" s="233" t="inlineStr">
        <is>
          <t>아무리 먹어도 살이 안 붙는다</t>
        </is>
      </c>
      <c r="E75" s="238" t="inlineStr">
        <is>
          <t>몸</t>
        </is>
      </c>
      <c r="F75" s="239" t="inlineStr">
        <is>
          <t>○</t>
        </is>
      </c>
      <c r="G75" s="240" t="n">
        <v>1.5</v>
      </c>
    </row>
    <row r="76" ht="15" customHeight="1" s="192">
      <c r="B76" s="243" t="inlineStr">
        <is>
          <t>s4</t>
        </is>
      </c>
      <c r="C76" s="236" t="inlineStr">
        <is>
          <t>정</t>
        </is>
      </c>
      <c r="D76" s="237" t="inlineStr">
        <is>
          <t>단 음식이나 밀가루 음식을 유독 좋아한다</t>
        </is>
      </c>
      <c r="E76" s="234" t="inlineStr">
        <is>
          <t>정신</t>
        </is>
      </c>
      <c r="F76" s="239" t="inlineStr">
        <is>
          <t>○</t>
        </is>
      </c>
      <c r="G76" s="235" t="n">
        <v>1</v>
      </c>
    </row>
    <row r="77" ht="15" customHeight="1" s="192">
      <c r="B77" s="243" t="inlineStr">
        <is>
          <t>s5</t>
        </is>
      </c>
      <c r="C77" s="232" t="inlineStr">
        <is>
          <t>역</t>
        </is>
      </c>
      <c r="D77" s="233" t="inlineStr">
        <is>
          <t>체중이 늘 제자리고 잘 안 는다</t>
        </is>
      </c>
      <c r="E77" s="238" t="inlineStr">
        <is>
          <t>몸</t>
        </is>
      </c>
      <c r="G77" s="240" t="n">
        <v>1.5</v>
      </c>
    </row>
    <row r="78" ht="15" customHeight="1" s="192">
      <c r="B78" s="243" t="inlineStr">
        <is>
          <t>s6</t>
        </is>
      </c>
      <c r="C78" s="236" t="inlineStr">
        <is>
          <t>정</t>
        </is>
      </c>
      <c r="D78" s="237" t="inlineStr">
        <is>
          <t>냉장고 문을 하루에 10번은 열어본다</t>
        </is>
      </c>
      <c r="E78" s="241" t="inlineStr">
        <is>
          <t>습관</t>
        </is>
      </c>
      <c r="G78" s="235" t="n">
        <v>0.8</v>
      </c>
    </row>
    <row r="79" ht="15" customHeight="1" s="192">
      <c r="B79" s="243" t="inlineStr">
        <is>
          <t>s7</t>
        </is>
      </c>
      <c r="C79" s="232" t="inlineStr">
        <is>
          <t>역</t>
        </is>
      </c>
      <c r="D79" s="233" t="inlineStr">
        <is>
          <t>마른 편이라 살 좀 쪘으면 좋겠다</t>
        </is>
      </c>
      <c r="E79" s="234" t="inlineStr">
        <is>
          <t>정신</t>
        </is>
      </c>
      <c r="G79" s="235" t="n">
        <v>1</v>
      </c>
    </row>
    <row r="80" ht="15" customHeight="1" s="192">
      <c r="B80" s="243" t="inlineStr">
        <is>
          <t>s8</t>
        </is>
      </c>
      <c r="C80" s="236" t="inlineStr">
        <is>
          <t>정</t>
        </is>
      </c>
      <c r="D80" s="237" t="inlineStr">
        <is>
          <t>먹고 자면 살이 더 찐다</t>
        </is>
      </c>
      <c r="E80" s="238" t="inlineStr">
        <is>
          <t>몸</t>
        </is>
      </c>
      <c r="G80" s="235" t="n">
        <v>1</v>
      </c>
    </row>
    <row r="81" ht="15" customHeight="1" s="192">
      <c r="B81" s="243" t="inlineStr">
        <is>
          <t>s9</t>
        </is>
      </c>
      <c r="C81" s="232" t="inlineStr">
        <is>
          <t>역</t>
        </is>
      </c>
      <c r="D81" s="233" t="inlineStr">
        <is>
          <t>또래보다 마르고 가벼운 편이다</t>
        </is>
      </c>
      <c r="E81" s="238" t="inlineStr">
        <is>
          <t>몸</t>
        </is>
      </c>
      <c r="F81" s="239" t="inlineStr">
        <is>
          <t>○</t>
        </is>
      </c>
      <c r="G81" s="240" t="n">
        <v>1.5</v>
      </c>
    </row>
    <row r="82" ht="15" customHeight="1" s="192">
      <c r="B82" s="243" t="inlineStr">
        <is>
          <t>s10</t>
        </is>
      </c>
      <c r="C82" s="236" t="inlineStr">
        <is>
          <t>정</t>
        </is>
      </c>
      <c r="D82" s="237" t="inlineStr">
        <is>
          <t>또래보다 체중이 많이 나간다</t>
        </is>
      </c>
      <c r="E82" s="238" t="inlineStr">
        <is>
          <t>몸</t>
        </is>
      </c>
      <c r="F82" s="239" t="inlineStr">
        <is>
          <t>○</t>
        </is>
      </c>
      <c r="G82" s="240" t="n">
        <v>1.5</v>
      </c>
    </row>
    <row r="83" ht="15" customHeight="1" s="192">
      <c r="B83" s="243" t="inlineStr">
        <is>
          <t>s11</t>
        </is>
      </c>
      <c r="C83" s="232" t="inlineStr">
        <is>
          <t>정</t>
        </is>
      </c>
      <c r="D83" s="233" t="inlineStr">
        <is>
          <t>야식 먹으면 다음날 바로 티가 난다</t>
        </is>
      </c>
      <c r="E83" s="238" t="inlineStr">
        <is>
          <t>몸</t>
        </is>
      </c>
      <c r="G83" s="235" t="n">
        <v>1</v>
      </c>
    </row>
    <row r="84" ht="15" customHeight="1" s="192">
      <c r="B84" s="243" t="inlineStr">
        <is>
          <t>s12</t>
        </is>
      </c>
      <c r="C84" s="236" t="inlineStr">
        <is>
          <t>역</t>
        </is>
      </c>
      <c r="D84" s="237" t="inlineStr">
        <is>
          <t>많이 먹어도 체중 변화가 거의 없다</t>
        </is>
      </c>
      <c r="E84" s="238" t="inlineStr">
        <is>
          <t>몸</t>
        </is>
      </c>
      <c r="G84" s="240" t="n">
        <v>1.5</v>
      </c>
    </row>
    <row r="85" ht="15" customHeight="1" s="192">
      <c r="B85" s="243" t="inlineStr">
        <is>
          <t>s13</t>
        </is>
      </c>
      <c r="C85" s="232" t="inlineStr">
        <is>
          <t>정</t>
        </is>
      </c>
      <c r="D85" s="233" t="inlineStr">
        <is>
          <t>물만 마셔도 살찐다는 말이 공감된다</t>
        </is>
      </c>
      <c r="E85" s="234" t="inlineStr">
        <is>
          <t>정신</t>
        </is>
      </c>
      <c r="G85" s="235" t="n">
        <v>0.8</v>
      </c>
    </row>
    <row r="86" ht="15" customHeight="1" s="192">
      <c r="B86" s="243" t="inlineStr">
        <is>
          <t>s14</t>
        </is>
      </c>
      <c r="C86" s="236" t="inlineStr">
        <is>
          <t>역</t>
        </is>
      </c>
      <c r="D86" s="237" t="inlineStr">
        <is>
          <t>살이 잘 안 쪄서 고민이다</t>
        </is>
      </c>
      <c r="E86" s="234" t="inlineStr">
        <is>
          <t>정신</t>
        </is>
      </c>
      <c r="F86" s="239" t="inlineStr">
        <is>
          <t>○</t>
        </is>
      </c>
      <c r="G86" s="235" t="n">
        <v>1</v>
      </c>
    </row>
    <row r="87" ht="15" customHeight="1" s="192">
      <c r="B87" s="243" t="inlineStr">
        <is>
          <t>s15</t>
        </is>
      </c>
      <c r="C87" s="232" t="inlineStr">
        <is>
          <t>정</t>
        </is>
      </c>
      <c r="D87" s="233" t="inlineStr">
        <is>
          <t>군것질을 자주 한다</t>
        </is>
      </c>
      <c r="E87" s="241" t="inlineStr">
        <is>
          <t>습관</t>
        </is>
      </c>
      <c r="G87" s="235" t="n">
        <v>0.8</v>
      </c>
    </row>
    <row r="88" ht="15" customHeight="1" s="192">
      <c r="B88" s="243" t="inlineStr">
        <is>
          <t>s16</t>
        </is>
      </c>
      <c r="C88" s="236" t="inlineStr">
        <is>
          <t>역</t>
        </is>
      </c>
      <c r="D88" s="237" t="inlineStr">
        <is>
          <t>입맛이 없어 끼니를 거를 때가 많다</t>
        </is>
      </c>
      <c r="E88" s="241" t="inlineStr">
        <is>
          <t>습관</t>
        </is>
      </c>
      <c r="G88" s="235" t="n">
        <v>1</v>
      </c>
    </row>
    <row r="89" ht="15" customHeight="1" s="192">
      <c r="B89" s="243" t="inlineStr">
        <is>
          <t>s17</t>
        </is>
      </c>
      <c r="C89" s="232" t="inlineStr">
        <is>
          <t>정</t>
        </is>
      </c>
      <c r="D89" s="233" t="inlineStr">
        <is>
          <t>한번 먹기 시작하면 멈추기 어렵다</t>
        </is>
      </c>
      <c r="E89" s="241" t="inlineStr">
        <is>
          <t>습관</t>
        </is>
      </c>
      <c r="G89" s="235" t="n">
        <v>1</v>
      </c>
    </row>
    <row r="90" ht="15" customHeight="1" s="192">
      <c r="B90" s="243" t="inlineStr">
        <is>
          <t>s18</t>
        </is>
      </c>
      <c r="C90" s="236" t="inlineStr">
        <is>
          <t>역</t>
        </is>
      </c>
      <c r="D90" s="237" t="inlineStr">
        <is>
          <t>먹어도 금방 다시 홀쭉해진다</t>
        </is>
      </c>
      <c r="E90" s="238" t="inlineStr">
        <is>
          <t>몸</t>
        </is>
      </c>
      <c r="G90" s="235" t="n">
        <v>1</v>
      </c>
    </row>
    <row r="91" ht="15" customHeight="1" s="192">
      <c r="B91" s="243" t="inlineStr">
        <is>
          <t>s19</t>
        </is>
      </c>
      <c r="C91" s="232" t="inlineStr">
        <is>
          <t>정</t>
        </is>
      </c>
      <c r="D91" s="233" t="inlineStr">
        <is>
          <t>밤에 야식 생각이 자주 난다</t>
        </is>
      </c>
      <c r="E91" s="234" t="inlineStr">
        <is>
          <t>정신</t>
        </is>
      </c>
      <c r="G91" s="235" t="n">
        <v>0.8</v>
      </c>
    </row>
    <row r="92" ht="15" customHeight="1" s="192">
      <c r="B92" s="243" t="inlineStr">
        <is>
          <t>s20</t>
        </is>
      </c>
      <c r="C92" s="236" t="inlineStr">
        <is>
          <t>역</t>
        </is>
      </c>
      <c r="D92" s="237" t="inlineStr">
        <is>
          <t>체격이 또래보다 왜소하다</t>
        </is>
      </c>
      <c r="E92" s="238" t="inlineStr">
        <is>
          <t>몸</t>
        </is>
      </c>
      <c r="G92" s="240" t="n">
        <v>1.5</v>
      </c>
    </row>
    <row r="93" ht="15" customHeight="1" s="192">
      <c r="B93" s="243" t="inlineStr">
        <is>
          <t>s21</t>
        </is>
      </c>
      <c r="C93" s="232" t="inlineStr">
        <is>
          <t>정</t>
        </is>
      </c>
      <c r="D93" s="233" t="inlineStr">
        <is>
          <t>먹는 걸로 스트레스를 푼다</t>
        </is>
      </c>
      <c r="E93" s="234" t="inlineStr">
        <is>
          <t>정신</t>
        </is>
      </c>
      <c r="G93" s="235" t="n">
        <v>1</v>
      </c>
    </row>
    <row r="94" ht="15" customHeight="1" s="192">
      <c r="B94" s="243" t="inlineStr">
        <is>
          <t>s22</t>
        </is>
      </c>
      <c r="C94" s="236" t="inlineStr">
        <is>
          <t>정</t>
        </is>
      </c>
      <c r="D94" s="237" t="inlineStr">
        <is>
          <t>한 끼 굶어도 끄떡없다</t>
        </is>
      </c>
      <c r="E94" s="238" t="inlineStr">
        <is>
          <t>몸</t>
        </is>
      </c>
      <c r="G94" s="235" t="n">
        <v>1</v>
      </c>
    </row>
    <row r="95" ht="15" customHeight="1" s="192">
      <c r="B95" s="243" t="inlineStr">
        <is>
          <t>s23</t>
        </is>
      </c>
      <c r="C95" s="232" t="inlineStr">
        <is>
          <t>정</t>
        </is>
      </c>
      <c r="D95" s="233" t="inlineStr">
        <is>
          <t>간식을 늘 가까이 둔다</t>
        </is>
      </c>
      <c r="E95" s="241" t="inlineStr">
        <is>
          <t>습관</t>
        </is>
      </c>
      <c r="G95" s="235" t="n">
        <v>0.8</v>
      </c>
    </row>
    <row r="96" ht="15" customHeight="1" s="192">
      <c r="B96" s="243" t="inlineStr">
        <is>
          <t>s24</t>
        </is>
      </c>
      <c r="C96" s="236" t="inlineStr">
        <is>
          <t>정</t>
        </is>
      </c>
      <c r="D96" s="237" t="inlineStr">
        <is>
          <t>체격이 또래보다 큰 편이다</t>
        </is>
      </c>
      <c r="E96" s="238" t="inlineStr">
        <is>
          <t>몸</t>
        </is>
      </c>
      <c r="F96" s="239" t="inlineStr">
        <is>
          <t>○</t>
        </is>
      </c>
      <c r="G96" s="235" t="n">
        <v>1</v>
      </c>
    </row>
    <row r="97" ht="15" customHeight="1" s="192">
      <c r="B97" s="243" t="inlineStr">
        <is>
          <t>s25</t>
        </is>
      </c>
      <c r="C97" s="232" t="inlineStr">
        <is>
          <t>정</t>
        </is>
      </c>
      <c r="D97" s="233" t="inlineStr">
        <is>
          <t>먹을 것 앞에서 참기 힘들어 한다</t>
        </is>
      </c>
      <c r="E97" s="234" t="inlineStr">
        <is>
          <t>정신</t>
        </is>
      </c>
      <c r="G97" s="235" t="n">
        <v>0.8</v>
      </c>
    </row>
    <row r="98" ht="15" customHeight="1" s="192">
      <c r="B98" s="243" t="inlineStr">
        <is>
          <t>s26</t>
        </is>
      </c>
      <c r="C98" s="236" t="inlineStr">
        <is>
          <t>정</t>
        </is>
      </c>
      <c r="D98" s="237" t="inlineStr">
        <is>
          <t>통통하다는 말을 자주 듣는다</t>
        </is>
      </c>
      <c r="E98" s="238" t="inlineStr">
        <is>
          <t>몸</t>
        </is>
      </c>
      <c r="G98" s="235" t="n">
        <v>1</v>
      </c>
    </row>
    <row r="99" ht="15" customHeight="1" s="192">
      <c r="B99" s="243" t="inlineStr">
        <is>
          <t>s27</t>
        </is>
      </c>
      <c r="C99" s="232" t="inlineStr">
        <is>
          <t>정</t>
        </is>
      </c>
      <c r="D99" s="233" t="inlineStr">
        <is>
          <t>잘 먹어서 든든하다는 말을 듣는다</t>
        </is>
      </c>
      <c r="E99" s="234" t="inlineStr">
        <is>
          <t>정신</t>
        </is>
      </c>
      <c r="G99" s="235" t="n">
        <v>0.8</v>
      </c>
    </row>
    <row r="100" ht="15" customHeight="1" s="192">
      <c r="B100" s="243" t="inlineStr">
        <is>
          <t>s28</t>
        </is>
      </c>
      <c r="C100" s="236" t="inlineStr">
        <is>
          <t>정</t>
        </is>
      </c>
      <c r="D100" s="237" t="inlineStr">
        <is>
          <t>밥 먹고 나서 든든함이 오래간다</t>
        </is>
      </c>
      <c r="E100" s="238" t="inlineStr">
        <is>
          <t>몸</t>
        </is>
      </c>
      <c r="G100" s="235" t="n">
        <v>0.8</v>
      </c>
    </row>
    <row r="101" ht="15" customHeight="1" s="192">
      <c r="B101" s="243" t="inlineStr">
        <is>
          <t>s29</t>
        </is>
      </c>
      <c r="C101" s="232" t="inlineStr">
        <is>
          <t>정</t>
        </is>
      </c>
      <c r="D101" s="233" t="inlineStr">
        <is>
          <t>끼니 사이에도 간식을 챙겨 먹는다</t>
        </is>
      </c>
      <c r="E101" s="241" t="inlineStr">
        <is>
          <t>습관</t>
        </is>
      </c>
      <c r="G101" s="235" t="n">
        <v>0.8</v>
      </c>
    </row>
    <row r="102" ht="15" customHeight="1" s="192">
      <c r="B102" s="243" t="inlineStr">
        <is>
          <t>s30</t>
        </is>
      </c>
      <c r="C102" s="236" t="inlineStr">
        <is>
          <t>정</t>
        </is>
      </c>
      <c r="D102" s="237" t="inlineStr">
        <is>
          <t>먹는 양에 비해 살이 잘 찐다</t>
        </is>
      </c>
      <c r="E102" s="238" t="inlineStr">
        <is>
          <t>몸</t>
        </is>
      </c>
      <c r="F102" s="239" t="inlineStr">
        <is>
          <t>○</t>
        </is>
      </c>
      <c r="G102" s="240" t="n">
        <v>1.5</v>
      </c>
    </row>
    <row r="104" ht="15" customHeight="1" s="192">
      <c r="B104" s="226" t="inlineStr">
        <is>
          <t>★성격칸: 몸/습관/정신 중 입력 · 출제칸: 24문항 선별(○) · 가중: 문항 중요도 | 노란칸=대표님 조정</t>
        </is>
      </c>
    </row>
  </sheetData>
  <mergeCells count="6">
    <mergeCell ref="B3:G3"/>
    <mergeCell ref="B2:G2"/>
    <mergeCell ref="B38:G38"/>
    <mergeCell ref="B5:G5"/>
    <mergeCell ref="B71:G71"/>
    <mergeCell ref="B104:G10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2:F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91" min="1" max="1"/>
    <col width="18" customWidth="1" style="191" min="2" max="2"/>
    <col width="11" customWidth="1" style="191" min="3" max="3"/>
    <col width="12" customWidth="1" style="191" min="4" max="4"/>
    <col width="18" customWidth="1" style="191" min="5" max="5"/>
    <col width="20" customWidth="1" style="191" min="6" max="6"/>
  </cols>
  <sheetData>
    <row r="2" ht="22.5" customHeight="1" s="192">
      <c r="B2" s="225" t="inlineStr">
        <is>
          <t>② 인바디 + 체격 측정 — 채택 항목</t>
        </is>
      </c>
    </row>
    <row r="3" ht="15" customHeight="1" s="192">
      <c r="B3" s="226" t="inlineStr">
        <is>
          <t>실측 자료 · 주로 '몸' 판단 (저장·키) · ★=핵심 채택</t>
        </is>
      </c>
    </row>
    <row r="5" ht="16.5" customHeight="1" s="192">
      <c r="B5" s="244" t="inlineStr">
        <is>
          <t>[1] 인바디 기본 (체성분)</t>
        </is>
      </c>
    </row>
    <row r="6" ht="15" customHeight="1" s="192">
      <c r="B6" s="230" t="inlineStr">
        <is>
          <t>항목</t>
        </is>
      </c>
      <c r="C6" s="230" t="inlineStr">
        <is>
          <t>채택</t>
        </is>
      </c>
      <c r="D6" s="230" t="inlineStr">
        <is>
          <t>반영</t>
        </is>
      </c>
      <c r="E6" s="230" t="inlineStr">
        <is>
          <t>점수화</t>
        </is>
      </c>
      <c r="F6" s="230" t="inlineStr">
        <is>
          <t>비고</t>
        </is>
      </c>
    </row>
    <row r="7" ht="15" customHeight="1" s="192">
      <c r="B7" s="245" t="inlineStr">
        <is>
          <t>체지방률(%)</t>
        </is>
      </c>
      <c r="C7" s="246" t="inlineStr">
        <is>
          <t>★채택</t>
        </is>
      </c>
      <c r="D7" s="247" t="inlineStr">
        <is>
          <t>저장(몸)</t>
        </is>
      </c>
      <c r="E7" s="247" t="inlineStr">
        <is>
          <t>낮음→저장↓</t>
        </is>
      </c>
      <c r="F7" s="248" t="inlineStr">
        <is>
          <t>마름/비만 핵심</t>
        </is>
      </c>
    </row>
    <row r="8" ht="15" customHeight="1" s="192">
      <c r="B8" s="245" t="inlineStr">
        <is>
          <t>골격근량(kg)</t>
        </is>
      </c>
      <c r="C8" s="246" t="inlineStr">
        <is>
          <t>★채택</t>
        </is>
      </c>
      <c r="D8" s="247" t="inlineStr">
        <is>
          <t>저장(몸)</t>
        </is>
      </c>
      <c r="E8" s="247" t="inlineStr">
        <is>
          <t>근육발달도</t>
        </is>
      </c>
      <c r="F8" s="248" t="inlineStr">
        <is>
          <t>마른비만 판별</t>
        </is>
      </c>
    </row>
    <row r="9" ht="15" customHeight="1" s="192">
      <c r="B9" s="249" t="inlineStr">
        <is>
          <t>BMI</t>
        </is>
      </c>
      <c r="C9" s="246" t="inlineStr">
        <is>
          <t>★채택</t>
        </is>
      </c>
      <c r="D9" s="247" t="inlineStr">
        <is>
          <t>저장(몸)</t>
        </is>
      </c>
      <c r="E9" s="247" t="inlineStr">
        <is>
          <t>또래 백분위</t>
        </is>
      </c>
      <c r="F9" s="248" t="inlineStr">
        <is>
          <t>성장도표 비교</t>
        </is>
      </c>
    </row>
    <row r="10" ht="15" customHeight="1" s="192">
      <c r="B10" s="245" t="inlineStr">
        <is>
          <t>체중(kg)</t>
        </is>
      </c>
      <c r="C10" s="250" t="inlineStr">
        <is>
          <t>채택</t>
        </is>
      </c>
      <c r="D10" s="247" t="inlineStr">
        <is>
          <t>저장(몸)</t>
        </is>
      </c>
      <c r="E10" s="247" t="inlineStr">
        <is>
          <t>또래 대비</t>
        </is>
      </c>
      <c r="F10" s="251" t="inlineStr">
        <is>
          <t>-</t>
        </is>
      </c>
    </row>
    <row r="11" ht="15" customHeight="1" s="192">
      <c r="B11" s="245" t="inlineStr">
        <is>
          <t>신장(cm)</t>
        </is>
      </c>
      <c r="C11" s="250" t="inlineStr">
        <is>
          <t>채택</t>
        </is>
      </c>
      <c r="D11" s="247" t="inlineStr">
        <is>
          <t>키트랙</t>
        </is>
      </c>
      <c r="E11" s="247" t="inlineStr">
        <is>
          <t>현재키</t>
        </is>
      </c>
      <c r="F11" s="248" t="inlineStr">
        <is>
          <t>격차추적용</t>
        </is>
      </c>
    </row>
    <row r="12" ht="15" customHeight="1" s="192">
      <c r="B12" s="249" t="inlineStr">
        <is>
          <t>FFMI(제지방지수)</t>
        </is>
      </c>
      <c r="C12" s="250" t="inlineStr">
        <is>
          <t>채택</t>
        </is>
      </c>
      <c r="D12" s="247" t="inlineStr">
        <is>
          <t>저장(몸)</t>
        </is>
      </c>
      <c r="E12" s="247" t="inlineStr">
        <is>
          <t>근육량 지표</t>
        </is>
      </c>
      <c r="F12" s="248" t="inlineStr">
        <is>
          <t>야구 핵심지수</t>
        </is>
      </c>
    </row>
    <row r="13" ht="15" customHeight="1" s="192">
      <c r="B13" s="245" t="inlineStr">
        <is>
          <t>내장지방</t>
        </is>
      </c>
      <c r="C13" s="250" t="inlineStr">
        <is>
          <t>참고</t>
        </is>
      </c>
      <c r="D13" s="247" t="inlineStr">
        <is>
          <t>저장(몸)</t>
        </is>
      </c>
      <c r="E13" s="247" t="inlineStr">
        <is>
          <t>과다 경고</t>
        </is>
      </c>
      <c r="F13" s="248" t="inlineStr">
        <is>
          <t>보조</t>
        </is>
      </c>
    </row>
    <row r="14" ht="15" customHeight="1" s="192">
      <c r="B14" s="245" t="inlineStr">
        <is>
          <t>기초대사량</t>
        </is>
      </c>
      <c r="C14" s="250" t="inlineStr">
        <is>
          <t>참고</t>
        </is>
      </c>
      <c r="D14" s="247" t="inlineStr">
        <is>
          <t>활동(몸)</t>
        </is>
      </c>
      <c r="E14" s="247" t="inlineStr">
        <is>
          <t>대사 추정</t>
        </is>
      </c>
      <c r="F14" s="251" t="inlineStr">
        <is>
          <t>-</t>
        </is>
      </c>
    </row>
    <row r="15" ht="15" customHeight="1" s="192">
      <c r="B15" s="245" t="inlineStr">
        <is>
          <t>부위별근육</t>
        </is>
      </c>
      <c r="C15" s="252" t="inlineStr">
        <is>
          <t>미채택</t>
        </is>
      </c>
      <c r="D15" s="253" t="inlineStr">
        <is>
          <t>-</t>
        </is>
      </c>
      <c r="E15" s="253" t="inlineStr">
        <is>
          <t>-</t>
        </is>
      </c>
      <c r="F15" s="248" t="inlineStr">
        <is>
          <t>과함</t>
        </is>
      </c>
    </row>
    <row r="17" ht="16.5" customHeight="1" s="192">
      <c r="B17" s="244" t="inlineStr">
        <is>
          <t>[2] ★체격 측정 (야구 선수 프레임 — 인바디 병행)</t>
        </is>
      </c>
    </row>
    <row r="18" ht="15" customHeight="1" s="192">
      <c r="B18" s="230" t="inlineStr">
        <is>
          <t>항목</t>
        </is>
      </c>
      <c r="C18" s="230" t="inlineStr">
        <is>
          <t>단위</t>
        </is>
      </c>
      <c r="D18" s="230" t="inlineStr">
        <is>
          <t>반영</t>
        </is>
      </c>
      <c r="E18" s="230" t="inlineStr">
        <is>
          <t>의미</t>
        </is>
      </c>
    </row>
    <row r="19" ht="26.25" customHeight="1" s="192">
      <c r="B19" s="245" t="inlineStr">
        <is>
          <t>윙스팬</t>
        </is>
      </c>
      <c r="C19" s="253" t="inlineStr">
        <is>
          <t>cm</t>
        </is>
      </c>
      <c r="D19" s="247" t="inlineStr">
        <is>
          <t>키트랙/몸</t>
        </is>
      </c>
      <c r="E19" s="247" t="inlineStr">
        <is>
          <t>양팔 길이. 키보다 +3~5 유리(투수)</t>
        </is>
      </c>
    </row>
    <row r="20" ht="26.25" customHeight="1" s="192">
      <c r="B20" s="245" t="inlineStr">
        <is>
          <t>손 크기</t>
        </is>
      </c>
      <c r="C20" s="253" t="inlineStr">
        <is>
          <t>cm</t>
        </is>
      </c>
      <c r="D20" s="247" t="inlineStr">
        <is>
          <t>몸</t>
        </is>
      </c>
      <c r="E20" s="247" t="inlineStr">
        <is>
          <t>손목~중지끝. 구종·그립력</t>
        </is>
      </c>
    </row>
    <row r="21" ht="26.25" customHeight="1" s="192">
      <c r="B21" s="245" t="inlineStr">
        <is>
          <t>하체 길이</t>
        </is>
      </c>
      <c r="C21" s="253" t="inlineStr">
        <is>
          <t>cm</t>
        </is>
      </c>
      <c r="D21" s="247" t="inlineStr">
        <is>
          <t>몸</t>
        </is>
      </c>
      <c r="E21" s="247" t="inlineStr">
        <is>
          <t>골반~복사뼈. 지면반발력</t>
        </is>
      </c>
    </row>
    <row r="22" ht="15" customHeight="1" s="192">
      <c r="B22" s="245" t="inlineStr">
        <is>
          <t>앉은키 비율</t>
        </is>
      </c>
      <c r="C22" s="253" t="inlineStr">
        <is>
          <t>%</t>
        </is>
      </c>
      <c r="D22" s="247" t="inlineStr">
        <is>
          <t>몸</t>
        </is>
      </c>
      <c r="E22" s="247" t="inlineStr">
        <is>
          <t>상·하체 균형</t>
        </is>
      </c>
    </row>
    <row r="24" ht="16.5" customHeight="1" s="192">
      <c r="B24" s="244" t="inlineStr">
        <is>
          <t>[3] 인바디 → 목표 역산 (대표님 통찰)</t>
        </is>
      </c>
    </row>
    <row r="25" ht="15" customHeight="1" s="192">
      <c r="B25" s="230" t="inlineStr">
        <is>
          <t>현재(인바디)</t>
        </is>
      </c>
      <c r="C25" s="229" t="inlineStr">
        <is>
          <t>→</t>
        </is>
      </c>
      <c r="D25" s="230" t="inlineStr">
        <is>
          <t>목표(국대)</t>
        </is>
      </c>
      <c r="E25" s="230" t="inlineStr">
        <is>
          <t>역산 스케줄</t>
        </is>
      </c>
    </row>
    <row r="26" ht="15" customHeight="1" s="192">
      <c r="B26" s="245" t="inlineStr">
        <is>
          <t>체지방 22%</t>
        </is>
      </c>
      <c r="C26" s="253" t="inlineStr">
        <is>
          <t>→</t>
        </is>
      </c>
      <c r="D26" s="246" t="inlineStr">
        <is>
          <t>야구 12~16%</t>
        </is>
      </c>
      <c r="E26" s="253" t="inlineStr">
        <is>
          <t>3년: 19→17→16%</t>
        </is>
      </c>
    </row>
    <row r="27" ht="15" customHeight="1" s="192">
      <c r="B27" s="245" t="inlineStr">
        <is>
          <t>골격근 부족</t>
        </is>
      </c>
      <c r="C27" s="253" t="inlineStr">
        <is>
          <t>→</t>
        </is>
      </c>
      <c r="D27" s="254" t="inlineStr">
        <is>
          <t>+윙스팬 프레임</t>
        </is>
      </c>
      <c r="E27" s="247" t="inlineStr">
        <is>
          <t>연도별 증량</t>
        </is>
      </c>
    </row>
    <row r="28" ht="15" customHeight="1" s="192">
      <c r="B28" s="245" t="inlineStr">
        <is>
          <t>악력 40kg</t>
        </is>
      </c>
      <c r="C28" s="253" t="inlineStr">
        <is>
          <t>→</t>
        </is>
      </c>
      <c r="D28" s="254" t="inlineStr">
        <is>
          <t>65kg+</t>
        </is>
      </c>
      <c r="E28" s="247" t="inlineStr">
        <is>
          <t>매년 +8kg</t>
        </is>
      </c>
    </row>
    <row r="30" ht="26.25" customHeight="1" s="192">
      <c r="B30" s="255" t="inlineStr">
        <is>
          <t>★교차검증: 설문 저장(주관) vs 인바디(실측) 차이 크면 → 인바디 우선 → '마른비만' 경고 | 인바디 없으면 PAPS로 보조</t>
        </is>
      </c>
    </row>
  </sheetData>
  <mergeCells count="6">
    <mergeCell ref="B30:F30"/>
    <mergeCell ref="B24:F24"/>
    <mergeCell ref="B2:F2"/>
    <mergeCell ref="B3:F3"/>
    <mergeCell ref="B5:F5"/>
    <mergeCell ref="B17:F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2:H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91" min="1" max="1"/>
    <col width="14" customWidth="1" style="191" min="2" max="2"/>
    <col width="22" customWidth="1" style="191" min="3" max="3"/>
    <col width="10" customWidth="1" style="191" min="4" max="6"/>
    <col width="13" customWidth="1" style="191" min="7" max="7"/>
  </cols>
  <sheetData>
    <row r="2" ht="23.1" customHeight="1" s="192">
      <c r="B2" s="256" t="inlineStr">
        <is>
          <t>③ 기질 — 생년월일·시 기반 (몸 체질 + 마음 심성 통합)</t>
        </is>
      </c>
    </row>
    <row r="3" ht="15" customHeight="1" s="192">
      <c r="B3" s="257" t="inlineStr">
        <is>
          <t>★타고난 '바탕'(기질지성). 현재(설문·인바디)가 그 위에 얹힘. 보고서엔 과학언어로 표현(사상의학 간판 최소화)</t>
        </is>
      </c>
    </row>
    <row r="5" ht="17.15" customHeight="1" s="192">
      <c r="B5" s="258" t="inlineStr">
        <is>
          <t>[1] 타고난 몸 (체질) → 흡수·활동·저장 '바탕 ±'</t>
        </is>
      </c>
    </row>
    <row r="6" ht="15" customHeight="1" s="192">
      <c r="B6" s="259" t="inlineStr">
        <is>
          <t>체질</t>
        </is>
      </c>
      <c r="C6" s="259" t="inlineStr">
        <is>
          <t>한자</t>
        </is>
      </c>
      <c r="D6" s="259" t="inlineStr">
        <is>
          <t>타고난 경향</t>
        </is>
      </c>
      <c r="E6" s="259" t="inlineStr">
        <is>
          <t>흡수±</t>
        </is>
      </c>
      <c r="F6" s="259" t="inlineStr">
        <is>
          <t>활동±</t>
        </is>
      </c>
      <c r="G6" s="259" t="inlineStr">
        <is>
          <t>저장±</t>
        </is>
      </c>
    </row>
    <row r="7" ht="26.85" customHeight="1" s="192">
      <c r="B7" s="260" t="inlineStr">
        <is>
          <t>축적체</t>
        </is>
      </c>
      <c r="C7" s="261" t="inlineStr">
        <is>
          <t>太陰</t>
        </is>
      </c>
      <c r="D7" s="262" t="inlineStr">
        <is>
          <t>잘 흡수·잘 쌓음, 느긋</t>
        </is>
      </c>
      <c r="E7" s="263" t="inlineStr">
        <is>
          <t>+1</t>
        </is>
      </c>
      <c r="F7" s="264" t="inlineStr">
        <is>
          <t>-1</t>
        </is>
      </c>
      <c r="G7" s="263" t="inlineStr">
        <is>
          <t>+2</t>
        </is>
      </c>
      <c r="H7" s="265" t="inlineStr">
        <is>
          <t>저장 바탕 강</t>
        </is>
      </c>
    </row>
    <row r="8" ht="39.55" customHeight="1" s="192">
      <c r="B8" s="260" t="inlineStr">
        <is>
          <t>대사체</t>
        </is>
      </c>
      <c r="C8" s="261" t="inlineStr">
        <is>
          <t>少陽</t>
        </is>
      </c>
      <c r="D8" s="266" t="inlineStr">
        <is>
          <t>빨리 태움·열많음, 활동적</t>
        </is>
      </c>
      <c r="E8" s="267" t="inlineStr">
        <is>
          <t>0</t>
        </is>
      </c>
      <c r="F8" s="263" t="inlineStr">
        <is>
          <t>+2</t>
        </is>
      </c>
      <c r="G8" s="264" t="inlineStr">
        <is>
          <t>-1</t>
        </is>
      </c>
      <c r="H8" s="265" t="inlineStr">
        <is>
          <t>활동 바탕 강</t>
        </is>
      </c>
    </row>
    <row r="9" ht="26.85" customHeight="1" s="192">
      <c r="B9" s="260" t="inlineStr">
        <is>
          <t>소화체</t>
        </is>
      </c>
      <c r="C9" s="261" t="inlineStr">
        <is>
          <t>少陰</t>
        </is>
      </c>
      <c r="D9" s="268" t="inlineStr">
        <is>
          <t>소화 여림·마른편, 예민</t>
        </is>
      </c>
      <c r="E9" s="264" t="inlineStr">
        <is>
          <t>-2</t>
        </is>
      </c>
      <c r="F9" s="267" t="inlineStr">
        <is>
          <t>0</t>
        </is>
      </c>
      <c r="G9" s="264" t="inlineStr">
        <is>
          <t>-1</t>
        </is>
      </c>
      <c r="H9" s="265" t="inlineStr">
        <is>
          <t>흡수 바탕 약</t>
        </is>
      </c>
    </row>
    <row r="10" ht="26.85" customHeight="1" s="192">
      <c r="B10" s="260" t="inlineStr">
        <is>
          <t>발달체</t>
        </is>
      </c>
      <c r="C10" s="261" t="inlineStr">
        <is>
          <t>太陽</t>
        </is>
      </c>
      <c r="D10" s="266" t="inlineStr">
        <is>
          <t>상체발달·드묾</t>
        </is>
      </c>
      <c r="E10" s="267" t="inlineStr">
        <is>
          <t>0</t>
        </is>
      </c>
      <c r="F10" s="263" t="inlineStr">
        <is>
          <t>+1</t>
        </is>
      </c>
      <c r="G10" s="264" t="inlineStr">
        <is>
          <t>-1</t>
        </is>
      </c>
      <c r="H10" s="265" t="inlineStr">
        <is>
          <t>희귀</t>
        </is>
      </c>
    </row>
    <row r="12" ht="17.15" customHeight="1" s="192">
      <c r="B12" s="244" t="inlineStr">
        <is>
          <t>[2] 마음 기질 (성리 심성) → 정서·자기조절·유대감 ±</t>
        </is>
      </c>
    </row>
    <row r="13" ht="15" customHeight="1" s="192">
      <c r="B13" s="259" t="inlineStr">
        <is>
          <t>기질</t>
        </is>
      </c>
      <c r="C13" s="259" t="inlineStr">
        <is>
          <t>성리개념</t>
        </is>
      </c>
      <c r="D13" s="259" t="inlineStr">
        <is>
          <t>정서±</t>
        </is>
      </c>
      <c r="E13" s="259" t="inlineStr">
        <is>
          <t>조절±</t>
        </is>
      </c>
      <c r="F13" s="259" t="inlineStr">
        <is>
          <t>유대±</t>
        </is>
      </c>
      <c r="G13" s="259" t="inlineStr">
        <is>
          <t>비고</t>
        </is>
      </c>
    </row>
    <row r="14" ht="15" customHeight="1" s="192">
      <c r="B14" s="269" t="inlineStr">
        <is>
          <t>강(剛)</t>
        </is>
      </c>
      <c r="C14" s="270" t="inlineStr">
        <is>
          <t>굳셈·의지</t>
        </is>
      </c>
      <c r="D14" s="271" t="inlineStr">
        <is>
          <t>+1</t>
        </is>
      </c>
      <c r="E14" s="271" t="inlineStr">
        <is>
          <t>+1</t>
        </is>
      </c>
      <c r="F14" s="272" t="inlineStr">
        <is>
          <t>-1</t>
        </is>
      </c>
      <c r="G14" s="270" t="inlineStr">
        <is>
          <t>주도형</t>
        </is>
      </c>
    </row>
    <row r="15" ht="15" customHeight="1" s="192">
      <c r="B15" s="269" t="inlineStr">
        <is>
          <t>유(柔)</t>
        </is>
      </c>
      <c r="C15" s="270" t="inlineStr">
        <is>
          <t>순함·부드러움</t>
        </is>
      </c>
      <c r="D15" s="271" t="inlineStr">
        <is>
          <t>+1</t>
        </is>
      </c>
      <c r="E15" s="272" t="inlineStr">
        <is>
          <t>-1</t>
        </is>
      </c>
      <c r="F15" s="271" t="inlineStr">
        <is>
          <t>+2</t>
        </is>
      </c>
      <c r="G15" s="270" t="inlineStr">
        <is>
          <t>관계형</t>
        </is>
      </c>
    </row>
    <row r="16" ht="15" customHeight="1" s="192">
      <c r="B16" s="269" t="inlineStr">
        <is>
          <t>급(急)</t>
        </is>
      </c>
      <c r="C16" s="270" t="inlineStr">
        <is>
          <t>날램·조급</t>
        </is>
      </c>
      <c r="D16" s="272" t="inlineStr">
        <is>
          <t>-2</t>
        </is>
      </c>
      <c r="E16" s="272" t="inlineStr">
        <is>
          <t>-1</t>
        </is>
      </c>
      <c r="F16" s="273" t="inlineStr">
        <is>
          <t>0</t>
        </is>
      </c>
      <c r="G16" s="270" t="inlineStr">
        <is>
          <t>예민형</t>
        </is>
      </c>
    </row>
    <row r="17" ht="15" customHeight="1" s="192">
      <c r="B17" s="269" t="inlineStr">
        <is>
          <t>완(緩)</t>
        </is>
      </c>
      <c r="C17" s="270" t="inlineStr">
        <is>
          <t>느긋·안정</t>
        </is>
      </c>
      <c r="D17" s="271" t="inlineStr">
        <is>
          <t>+1</t>
        </is>
      </c>
      <c r="E17" s="271" t="inlineStr">
        <is>
          <t>+1</t>
        </is>
      </c>
      <c r="F17" s="271" t="inlineStr">
        <is>
          <t>+1</t>
        </is>
      </c>
      <c r="G17" s="270" t="inlineStr">
        <is>
          <t>평온형</t>
        </is>
      </c>
    </row>
    <row r="19" ht="17.15" customHeight="1" s="192">
      <c r="B19" s="274" t="inlineStr">
        <is>
          <t>■ 입력·반영 방법</t>
        </is>
      </c>
    </row>
    <row r="20" ht="15" customHeight="1" s="192">
      <c r="B20" s="275" t="inlineStr">
        <is>
          <t>입력: 생년월일·생시 (하나의 입력 → 몸 체질 + 마음 심성 둘 다 산출)</t>
        </is>
      </c>
      <c r="C20" s="276" t="n"/>
      <c r="D20" s="276" t="n"/>
      <c r="E20" s="276" t="n"/>
      <c r="F20" s="276" t="n"/>
      <c r="G20" s="277" t="n"/>
    </row>
    <row r="21" ht="15" customHeight="1" s="192">
      <c r="B21" s="275" t="inlineStr">
        <is>
          <t>반영: 경향값(±) × 기질가중치 → 각 력·각 마음요소에 보정</t>
        </is>
      </c>
      <c r="C21" s="276" t="n"/>
      <c r="D21" s="276" t="n"/>
      <c r="E21" s="276" t="n"/>
      <c r="F21" s="276" t="n"/>
      <c r="G21" s="277" t="n"/>
    </row>
    <row r="22" ht="15" customHeight="1" s="192">
      <c r="B22" s="275" t="inlineStr">
        <is>
          <t>★기질가중치 0 = 기질 OFF (스위치) | 면책: 의학·심리 진단 아님, 참고</t>
        </is>
      </c>
      <c r="C22" s="276" t="n"/>
      <c r="D22" s="276" t="n"/>
      <c r="E22" s="276" t="n"/>
      <c r="F22" s="276" t="n"/>
      <c r="G22" s="277" t="n"/>
    </row>
    <row r="23" ht="15" customHeight="1" s="192">
      <c r="B23" s="275" t="inlineStr">
        <is>
          <t>★우리만의 표현으로 '기질'이라 부름 (사상의학·성리학 용어는 내부 근거)</t>
        </is>
      </c>
      <c r="C23" s="276" t="n"/>
      <c r="D23" s="276" t="n"/>
      <c r="E23" s="276" t="n"/>
      <c r="F23" s="276" t="n"/>
      <c r="G23" s="277" t="n"/>
    </row>
  </sheetData>
  <mergeCells count="9">
    <mergeCell ref="B3:G3"/>
    <mergeCell ref="B2:G2"/>
    <mergeCell ref="B20:G20"/>
    <mergeCell ref="B19:G19"/>
    <mergeCell ref="B5:G5"/>
    <mergeCell ref="B22:G22"/>
    <mergeCell ref="B23:G23"/>
    <mergeCell ref="B12:G12"/>
    <mergeCell ref="B21:G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2:J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91" min="1" max="1"/>
    <col width="20" customWidth="1" style="191" min="2" max="2"/>
    <col width="26" customWidth="1" style="191" min="3" max="3"/>
    <col width="16" customWidth="1" style="191" min="4" max="4"/>
  </cols>
  <sheetData>
    <row r="2" ht="23.1" customHeight="1" s="192">
      <c r="B2" s="256" t="inlineStr">
        <is>
          <t>⑤ 부모키 — 유전 계산 (키 트랙, BioCode 분리)</t>
        </is>
      </c>
    </row>
    <row r="3" ht="15" customHeight="1" s="192">
      <c r="B3" s="257" t="inlineStr">
        <is>
          <t>예상키 계산 → 키 격차추적 전용 · BioCode(흡수활동저장)엔 안 들어감</t>
        </is>
      </c>
    </row>
    <row r="5" ht="19.4" customHeight="1" s="192">
      <c r="B5" s="278" t="inlineStr">
        <is>
          <t>■ 예상키 공식 (MPH 중간부모키)</t>
        </is>
      </c>
    </row>
    <row r="6" ht="15" customHeight="1" s="192">
      <c r="B6" s="259" t="inlineStr">
        <is>
          <t>구분</t>
        </is>
      </c>
      <c r="C6" s="259" t="inlineStr">
        <is>
          <t>공식</t>
        </is>
      </c>
      <c r="D6" s="259" t="inlineStr">
        <is>
          <t>오차범위</t>
        </is>
      </c>
    </row>
    <row r="7" ht="17.15" customHeight="1" s="192">
      <c r="B7" s="279" t="inlineStr">
        <is>
          <t>남아 예상키</t>
        </is>
      </c>
      <c r="C7" s="280" t="inlineStr">
        <is>
          <t>(아빠키 + 엄마키 + 13) / 2</t>
        </is>
      </c>
      <c r="D7" s="273" t="inlineStr">
        <is>
          <t>± 5cm</t>
        </is>
      </c>
    </row>
    <row r="8" ht="17.15" customHeight="1" s="192">
      <c r="B8" s="279" t="inlineStr">
        <is>
          <t>여아 예상키</t>
        </is>
      </c>
      <c r="C8" s="280" t="inlineStr">
        <is>
          <t>(아빠키 + 엄마키 − 13) / 2</t>
        </is>
      </c>
      <c r="D8" s="273" t="inlineStr">
        <is>
          <t>± 5cm</t>
        </is>
      </c>
    </row>
    <row r="10" ht="19.4" customHeight="1" s="192">
      <c r="B10" s="278" t="inlineStr">
        <is>
          <t>■ 키 잠재력 반영 비율</t>
        </is>
      </c>
    </row>
    <row r="11" ht="15" customHeight="1" s="192">
      <c r="B11" s="259" t="inlineStr">
        <is>
          <t>요소</t>
        </is>
      </c>
      <c r="C11" s="259" t="inlineStr">
        <is>
          <t>비율</t>
        </is>
      </c>
      <c r="D11" s="259" t="inlineStr">
        <is>
          <t>의미</t>
        </is>
      </c>
    </row>
    <row r="12" ht="26.85" customHeight="1" s="192">
      <c r="B12" s="281" t="inlineStr">
        <is>
          <t>부모키(유전)</t>
        </is>
      </c>
      <c r="C12" s="282" t="inlineStr">
        <is>
          <t>0.75</t>
        </is>
      </c>
      <c r="D12" s="270" t="inlineStr">
        <is>
          <t>예상키의 뼈대(70~80%)</t>
        </is>
      </c>
    </row>
    <row r="13" ht="15" customHeight="1" s="192">
      <c r="B13" s="281" t="inlineStr">
        <is>
          <t>현재 성장추세</t>
        </is>
      </c>
      <c r="C13" s="282" t="inlineStr">
        <is>
          <t>0.20</t>
        </is>
      </c>
      <c r="D13" s="270" t="inlineStr">
        <is>
          <t>실제 크는 속도</t>
        </is>
      </c>
    </row>
    <row r="14" ht="15" customHeight="1" s="192">
      <c r="B14" s="281" t="inlineStr">
        <is>
          <t>환경(설문 수면·영양)</t>
        </is>
      </c>
      <c r="C14" s="282" t="inlineStr">
        <is>
          <t>0.05</t>
        </is>
      </c>
      <c r="D14" s="270" t="inlineStr">
        <is>
          <t>보정</t>
        </is>
      </c>
    </row>
    <row r="16" ht="15" customHeight="1" s="192">
      <c r="B16" s="281" t="inlineStr">
        <is>
          <t>★키 트랙은 BioCode와 별개:</t>
        </is>
      </c>
      <c r="C16" s="276" t="n"/>
      <c r="D16" s="277" t="n"/>
    </row>
    <row r="17" ht="15" customHeight="1" s="192">
      <c r="B17" s="275" t="inlineStr">
        <is>
          <t xml:space="preserve">  예상키 → 나이별 기대키(성장도표 보간) → 현재키와 격차추적</t>
        </is>
      </c>
      <c r="C17" s="276" t="n"/>
      <c r="D17" s="277" t="n"/>
    </row>
    <row r="18" ht="15" customHeight="1" s="192">
      <c r="B18" s="275" t="inlineStr">
        <is>
          <t xml:space="preserve">  키 큰 집 마른애(부모키↑ BioCode 111) / 작은 집 통통애(부모키↓ 333) 구분</t>
        </is>
      </c>
      <c r="C18" s="276" t="n"/>
      <c r="D18" s="277" t="n"/>
    </row>
  </sheetData>
  <mergeCells count="7">
    <mergeCell ref="B10:D10"/>
    <mergeCell ref="B3:J3"/>
    <mergeCell ref="B5:D5"/>
    <mergeCell ref="B17:D17"/>
    <mergeCell ref="B18:D18"/>
    <mergeCell ref="B16:D16"/>
    <mergeCell ref="B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B2:H9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91" min="1" max="1"/>
    <col width="16" customWidth="1" style="191" min="2" max="2"/>
    <col width="13" customWidth="1" style="191" min="3" max="7"/>
  </cols>
  <sheetData>
    <row r="2" ht="22.5" customHeight="1" s="192">
      <c r="B2" s="225" t="inlineStr">
        <is>
          <t>⑥ 목표 시트 — 야구 (전체 수치 수록)</t>
        </is>
      </c>
    </row>
    <row r="3" ht="15" customHeight="1" s="192">
      <c r="B3" s="283" t="inlineStr">
        <is>
          <t>DB 수집 전부 · ★=재검증 · 닻=고정 · 대표님이 보고 넣고 뺄 것</t>
        </is>
      </c>
    </row>
    <row r="5" ht="16.5" customHeight="1" s="192">
      <c r="B5" s="244" t="inlineStr">
        <is>
          <t>[1] 투수 구속 사다리</t>
        </is>
      </c>
    </row>
    <row r="6" ht="15" customHeight="1" s="192">
      <c r="B6" s="230" t="inlineStr">
        <is>
          <t>단계</t>
        </is>
      </c>
      <c r="C6" s="230" t="inlineStr">
        <is>
          <t>구속</t>
        </is>
      </c>
      <c r="D6" s="230" t="inlineStr">
        <is>
          <t>비고</t>
        </is>
      </c>
    </row>
    <row r="7" ht="15" customHeight="1" s="192">
      <c r="B7" s="245" t="inlineStr">
        <is>
          <t>리틀·중학</t>
        </is>
      </c>
      <c r="C7" s="284" t="inlineStr">
        <is>
          <t>120~125km</t>
        </is>
      </c>
      <c r="D7" s="247" t="inlineStr">
        <is>
          <t>★재검증</t>
        </is>
      </c>
    </row>
    <row r="8" ht="26.25" customHeight="1" s="192">
      <c r="B8" s="245" t="inlineStr">
        <is>
          <t>고교</t>
        </is>
      </c>
      <c r="C8" s="284" t="inlineStr">
        <is>
          <t>130~140km초</t>
        </is>
      </c>
      <c r="D8" s="247" t="inlineStr">
        <is>
          <t>좌완130후반=프로2군선</t>
        </is>
      </c>
    </row>
    <row r="9" ht="15" customHeight="1" s="192">
      <c r="B9" s="245" t="inlineStr">
        <is>
          <t>대학</t>
        </is>
      </c>
      <c r="C9" s="284" t="inlineStr">
        <is>
          <t>140km</t>
        </is>
      </c>
      <c r="D9" s="253" t="inlineStr">
        <is>
          <t>KBSA</t>
        </is>
      </c>
    </row>
    <row r="10" ht="15" customHeight="1" s="192">
      <c r="B10" s="249" t="inlineStr">
        <is>
          <t>KBO 우완</t>
        </is>
      </c>
      <c r="C10" s="284" t="inlineStr">
        <is>
          <t>143~148km</t>
        </is>
      </c>
      <c r="D10" s="247" t="inlineStr">
        <is>
          <t>프로</t>
        </is>
      </c>
    </row>
    <row r="11" ht="15" customHeight="1" s="192">
      <c r="B11" s="249" t="inlineStr">
        <is>
          <t>KBO 좌완</t>
        </is>
      </c>
      <c r="C11" s="284" t="inlineStr">
        <is>
          <t>138~144km</t>
        </is>
      </c>
      <c r="D11" s="247" t="inlineStr">
        <is>
          <t>프로</t>
        </is>
      </c>
    </row>
    <row r="12" ht="15" customHeight="1" s="192">
      <c r="B12" s="249" t="inlineStr">
        <is>
          <t>NPB</t>
        </is>
      </c>
      <c r="C12" s="284" t="inlineStr">
        <is>
          <t>145km</t>
        </is>
      </c>
      <c r="D12" s="253" t="inlineStr">
        <is>
          <t>2팀연구</t>
        </is>
      </c>
    </row>
    <row r="13" ht="15" customHeight="1" s="192">
      <c r="B13" s="249" t="inlineStr">
        <is>
          <t>MLB</t>
        </is>
      </c>
      <c r="C13" s="284" t="inlineStr">
        <is>
          <t>147km</t>
        </is>
      </c>
      <c r="D13" s="253" t="inlineStr">
        <is>
          <t>2팀연구</t>
        </is>
      </c>
    </row>
    <row r="15" ht="16.5" customHeight="1" s="192">
      <c r="B15" s="244" t="inlineStr">
        <is>
          <t>[2] 신장 사다리</t>
        </is>
      </c>
    </row>
    <row r="16" ht="15" customHeight="1" s="192">
      <c r="B16" s="230" t="inlineStr">
        <is>
          <t>단계</t>
        </is>
      </c>
      <c r="C16" s="230" t="inlineStr">
        <is>
          <t>평균</t>
        </is>
      </c>
      <c r="D16" s="230" t="inlineStr">
        <is>
          <t>상위</t>
        </is>
      </c>
      <c r="E16" s="230" t="inlineStr">
        <is>
          <t>비고</t>
        </is>
      </c>
    </row>
    <row r="17" ht="15" customHeight="1" s="192">
      <c r="B17" s="245" t="inlineStr">
        <is>
          <t>일반성인남</t>
        </is>
      </c>
      <c r="C17" s="253" t="inlineStr">
        <is>
          <t>173cm</t>
        </is>
      </c>
      <c r="D17" s="253" t="inlineStr">
        <is>
          <t>-</t>
        </is>
      </c>
      <c r="E17" s="247" t="inlineStr">
        <is>
          <t>국민평균</t>
        </is>
      </c>
    </row>
    <row r="18" ht="15" customHeight="1" s="192">
      <c r="B18" s="245" t="inlineStr">
        <is>
          <t>고교야구</t>
        </is>
      </c>
      <c r="C18" s="253" t="inlineStr">
        <is>
          <t>176cm</t>
        </is>
      </c>
      <c r="D18" s="253" t="inlineStr">
        <is>
          <t>-</t>
        </is>
      </c>
      <c r="E18" s="253" t="inlineStr">
        <is>
          <t>2016연구</t>
        </is>
      </c>
    </row>
    <row r="19" ht="15" customHeight="1" s="192">
      <c r="B19" s="245" t="inlineStr">
        <is>
          <t>대학</t>
        </is>
      </c>
      <c r="C19" s="253" t="inlineStr">
        <is>
          <t>182cm</t>
        </is>
      </c>
      <c r="D19" s="253" t="inlineStr">
        <is>
          <t>-</t>
        </is>
      </c>
      <c r="E19" s="253" t="inlineStr">
        <is>
          <t>KBSA</t>
        </is>
      </c>
    </row>
    <row r="20" ht="15" customHeight="1" s="192">
      <c r="B20" s="249" t="inlineStr">
        <is>
          <t>KBO</t>
        </is>
      </c>
      <c r="C20" s="253" t="inlineStr">
        <is>
          <t>183cm</t>
        </is>
      </c>
      <c r="D20" s="253" t="inlineStr">
        <is>
          <t>184cm</t>
        </is>
      </c>
      <c r="E20" s="247" t="inlineStr">
        <is>
          <t>★재검증</t>
        </is>
      </c>
    </row>
    <row r="21" ht="15" customHeight="1" s="192">
      <c r="B21" s="249" t="inlineStr">
        <is>
          <t>MLB</t>
        </is>
      </c>
      <c r="C21" s="253" t="inlineStr">
        <is>
          <t>190cm</t>
        </is>
      </c>
      <c r="D21" s="253" t="inlineStr">
        <is>
          <t>193cm</t>
        </is>
      </c>
      <c r="E21" s="247" t="inlineStr">
        <is>
          <t>★재검증</t>
        </is>
      </c>
    </row>
    <row r="23" ht="16.5" customHeight="1" s="192">
      <c r="B23" s="244" t="inlineStr">
        <is>
          <t>[3] 포지션별 합격선 (프로/대학)</t>
        </is>
      </c>
    </row>
    <row r="24" ht="15" customHeight="1" s="192">
      <c r="B24" s="230" t="inlineStr">
        <is>
          <t>측정</t>
        </is>
      </c>
      <c r="C24" s="230" t="inlineStr">
        <is>
          <t>통과</t>
        </is>
      </c>
      <c r="D24" s="230" t="inlineStr">
        <is>
          <t>우수</t>
        </is>
      </c>
      <c r="E24" s="230" t="inlineStr">
        <is>
          <t>대학</t>
        </is>
      </c>
    </row>
    <row r="25" ht="15" customHeight="1" s="192">
      <c r="B25" s="245" t="inlineStr">
        <is>
          <t>투수 우완구속</t>
        </is>
      </c>
      <c r="C25" s="253" t="inlineStr">
        <is>
          <t>143km</t>
        </is>
      </c>
      <c r="D25" s="284" t="inlineStr">
        <is>
          <t>148km+</t>
        </is>
      </c>
      <c r="E25" s="253" t="inlineStr">
        <is>
          <t>140km</t>
        </is>
      </c>
    </row>
    <row r="26" ht="15" customHeight="1" s="192">
      <c r="B26" s="245" t="inlineStr">
        <is>
          <t>투수 좌완구속</t>
        </is>
      </c>
      <c r="C26" s="253" t="inlineStr">
        <is>
          <t>138km</t>
        </is>
      </c>
      <c r="D26" s="284" t="inlineStr">
        <is>
          <t>144km+</t>
        </is>
      </c>
      <c r="E26" s="253" t="inlineStr">
        <is>
          <t>135km</t>
        </is>
      </c>
    </row>
    <row r="27" ht="15" customHeight="1" s="192">
      <c r="B27" s="245" t="inlineStr">
        <is>
          <t>투수 신장</t>
        </is>
      </c>
      <c r="C27" s="253" t="inlineStr">
        <is>
          <t>178cm</t>
        </is>
      </c>
      <c r="D27" s="284" t="inlineStr">
        <is>
          <t>182cm+</t>
        </is>
      </c>
      <c r="E27" s="253" t="inlineStr">
        <is>
          <t>178cm</t>
        </is>
      </c>
    </row>
    <row r="28" ht="15" customHeight="1" s="192">
      <c r="B28" s="245" t="inlineStr">
        <is>
          <t>야수 30m</t>
        </is>
      </c>
      <c r="C28" s="253" t="inlineStr">
        <is>
          <t>4.1초</t>
        </is>
      </c>
      <c r="D28" s="284" t="inlineStr">
        <is>
          <t>3.8~3.9초</t>
        </is>
      </c>
      <c r="E28" s="253" t="inlineStr">
        <is>
          <t>-</t>
        </is>
      </c>
    </row>
    <row r="29" ht="15" customHeight="1" s="192">
      <c r="B29" s="245" t="inlineStr">
        <is>
          <t>야수 100m</t>
        </is>
      </c>
      <c r="C29" s="253" t="inlineStr">
        <is>
          <t>-</t>
        </is>
      </c>
      <c r="D29" s="284" t="inlineStr">
        <is>
          <t>-</t>
        </is>
      </c>
      <c r="E29" s="253" t="inlineStr">
        <is>
          <t>11.4~11.7초</t>
        </is>
      </c>
    </row>
    <row r="30" ht="15" customHeight="1" s="192">
      <c r="B30" s="245" t="inlineStr">
        <is>
          <t>야수 멀리뛰기</t>
        </is>
      </c>
      <c r="C30" s="253" t="inlineStr">
        <is>
          <t>250cm</t>
        </is>
      </c>
      <c r="D30" s="284" t="inlineStr">
        <is>
          <t>275cm+</t>
        </is>
      </c>
      <c r="E30" s="253" t="inlineStr">
        <is>
          <t>-</t>
        </is>
      </c>
    </row>
    <row r="31" ht="15" customHeight="1" s="192">
      <c r="B31" s="245" t="inlineStr">
        <is>
          <t>야수 악력</t>
        </is>
      </c>
      <c r="C31" s="253" t="inlineStr">
        <is>
          <t>55kg</t>
        </is>
      </c>
      <c r="D31" s="284" t="inlineStr">
        <is>
          <t>65kg+</t>
        </is>
      </c>
      <c r="E31" s="253" t="inlineStr">
        <is>
          <t>-</t>
        </is>
      </c>
    </row>
    <row r="32" ht="15" customHeight="1" s="192">
      <c r="B32" s="245" t="inlineStr">
        <is>
          <t>포수 팝타임</t>
        </is>
      </c>
      <c r="C32" s="253" t="inlineStr">
        <is>
          <t>2.0초</t>
        </is>
      </c>
      <c r="D32" s="284" t="inlineStr">
        <is>
          <t>1.85~1.92초</t>
        </is>
      </c>
      <c r="E32" s="253" t="inlineStr">
        <is>
          <t>1.95~2.05초</t>
        </is>
      </c>
    </row>
    <row r="34" ht="16.5" customHeight="1" s="192">
      <c r="B34" s="244" t="inlineStr">
        <is>
          <t>[4] 컴바인·트레이닝장 (평균→상위10%)</t>
        </is>
      </c>
    </row>
    <row r="35" ht="15" customHeight="1" s="192">
      <c r="B35" s="230" t="inlineStr">
        <is>
          <t>항목</t>
        </is>
      </c>
      <c r="C35" s="230" t="inlineStr">
        <is>
          <t>평균</t>
        </is>
      </c>
      <c r="D35" s="230" t="inlineStr">
        <is>
          <t>상위10%</t>
        </is>
      </c>
      <c r="E35" s="230" t="inlineStr">
        <is>
          <t>의미</t>
        </is>
      </c>
    </row>
    <row r="36" ht="15" customHeight="1" s="192">
      <c r="B36" s="249" t="inlineStr">
        <is>
          <t>30야드 대시</t>
        </is>
      </c>
      <c r="C36" s="253" t="inlineStr">
        <is>
          <t>3.77초</t>
        </is>
      </c>
      <c r="D36" s="284" t="inlineStr">
        <is>
          <t>3.50~3.60초</t>
        </is>
      </c>
      <c r="E36" s="247" t="inlineStr">
        <is>
          <t>주력·도루</t>
        </is>
      </c>
    </row>
    <row r="37" ht="15" customHeight="1" s="192">
      <c r="B37" s="245" t="inlineStr">
        <is>
          <t>제자리멀리뛰기</t>
        </is>
      </c>
      <c r="C37" s="253" t="inlineStr">
        <is>
          <t>272cm</t>
        </is>
      </c>
      <c r="D37" s="284" t="inlineStr">
        <is>
          <t>300~312cm</t>
        </is>
      </c>
      <c r="E37" s="247" t="inlineStr">
        <is>
          <t>수평파워</t>
        </is>
      </c>
    </row>
    <row r="38" ht="15" customHeight="1" s="192">
      <c r="B38" s="245" t="inlineStr">
        <is>
          <t>수직점프CMJ</t>
        </is>
      </c>
      <c r="C38" s="253" t="inlineStr">
        <is>
          <t>-</t>
        </is>
      </c>
      <c r="D38" s="285" t="inlineStr">
        <is>
          <t>지면반발측정</t>
        </is>
      </c>
      <c r="E38" s="247" t="inlineStr">
        <is>
          <t>하체폭발</t>
        </is>
      </c>
    </row>
    <row r="39" ht="15" customHeight="1" s="192">
      <c r="B39" s="245" t="inlineStr">
        <is>
          <t>악력</t>
        </is>
      </c>
      <c r="C39" s="253" t="inlineStr">
        <is>
          <t>-</t>
        </is>
      </c>
      <c r="D39" s="284" t="inlineStr">
        <is>
          <t>65~70kg+</t>
        </is>
      </c>
      <c r="E39" s="247" t="inlineStr">
        <is>
          <t>배트·회전</t>
        </is>
      </c>
    </row>
    <row r="40" ht="15" customHeight="1" s="192">
      <c r="B40" s="249" t="inlineStr">
        <is>
          <t>VO2max</t>
        </is>
      </c>
      <c r="C40" s="247" t="inlineStr">
        <is>
          <t>일반35~40</t>
        </is>
      </c>
      <c r="D40" s="285" t="inlineStr">
        <is>
          <t>선수55~60+</t>
        </is>
      </c>
      <c r="E40" s="247" t="inlineStr">
        <is>
          <t>심폐</t>
        </is>
      </c>
    </row>
    <row r="41" ht="15" customHeight="1" s="192">
      <c r="B41" s="245" t="inlineStr">
        <is>
          <t>요요 IR2</t>
        </is>
      </c>
      <c r="C41" s="253" t="inlineStr">
        <is>
          <t>-</t>
        </is>
      </c>
      <c r="D41" s="284" t="inlineStr">
        <is>
          <t>20~22단계+</t>
        </is>
      </c>
      <c r="E41" s="247" t="inlineStr">
        <is>
          <t>프로기준</t>
        </is>
      </c>
    </row>
    <row r="42" ht="15" customHeight="1" s="192">
      <c r="B42" s="249" t="inlineStr">
        <is>
          <t>5-10-5 아질리티</t>
        </is>
      </c>
      <c r="C42" s="253" t="inlineStr">
        <is>
          <t>-</t>
        </is>
      </c>
      <c r="D42" s="284" t="inlineStr">
        <is>
          <t>4.10~4.30초</t>
        </is>
      </c>
      <c r="E42" s="247" t="inlineStr">
        <is>
          <t>방향전환</t>
        </is>
      </c>
    </row>
    <row r="44" ht="16.5" customHeight="1" s="192">
      <c r="B44" s="244" t="inlineStr">
        <is>
          <t>[5] ★가동성·부상위험 (MLB 최중시)</t>
        </is>
      </c>
    </row>
    <row r="45" ht="15" customHeight="1" s="192">
      <c r="B45" s="230" t="inlineStr">
        <is>
          <t>항목</t>
        </is>
      </c>
      <c r="C45" s="230" t="inlineStr">
        <is>
          <t>측정</t>
        </is>
      </c>
      <c r="D45" s="230" t="inlineStr">
        <is>
          <t>기준</t>
        </is>
      </c>
      <c r="E45" s="230" t="inlineStr">
        <is>
          <t>의미</t>
        </is>
      </c>
    </row>
    <row r="46" ht="26.25" customHeight="1" s="192">
      <c r="B46" s="245" t="inlineStr">
        <is>
          <t>어깨 내외회전</t>
        </is>
      </c>
      <c r="C46" s="247" t="inlineStr">
        <is>
          <t>고니오미터 °</t>
        </is>
      </c>
      <c r="D46" s="285" t="inlineStr">
        <is>
          <t>내회전차 20도 미만</t>
        </is>
      </c>
      <c r="E46" s="253" t="inlineStr">
        <is>
          <t>GIRD·팔꿈치부상 회피</t>
        </is>
      </c>
    </row>
    <row r="47" ht="15" customHeight="1" s="192">
      <c r="B47" s="245" t="inlineStr">
        <is>
          <t>흉추 가동성</t>
        </is>
      </c>
      <c r="C47" s="247" t="inlineStr">
        <is>
          <t>회전 °</t>
        </is>
      </c>
      <c r="D47" s="284" t="inlineStr">
        <is>
          <t>X-Factor 꼬임</t>
        </is>
      </c>
      <c r="E47" s="247" t="inlineStr">
        <is>
          <t>타격·투구 회전력</t>
        </is>
      </c>
    </row>
    <row r="48" ht="26.25" customHeight="1" s="192">
      <c r="B48" s="245" t="inlineStr">
        <is>
          <t>고관절 ROM</t>
        </is>
      </c>
      <c r="C48" s="247" t="inlineStr">
        <is>
          <t>회전 °</t>
        </is>
      </c>
      <c r="D48" s="284" t="inlineStr">
        <is>
          <t>-</t>
        </is>
      </c>
      <c r="E48" s="247" t="inlineStr">
        <is>
          <t>지면반발·골반회전</t>
        </is>
      </c>
    </row>
    <row r="49" ht="15" customHeight="1" s="192">
      <c r="B49" s="249" t="inlineStr">
        <is>
          <t>Y-밸런스</t>
        </is>
      </c>
      <c r="C49" s="253" t="inlineStr">
        <is>
          <t>3방향 cm</t>
        </is>
      </c>
      <c r="D49" s="285" t="inlineStr">
        <is>
          <t>양발차 4cm 미만</t>
        </is>
      </c>
      <c r="E49" s="247" t="inlineStr">
        <is>
          <t>코어 안정성</t>
        </is>
      </c>
    </row>
    <row r="50" ht="15" customHeight="1" s="192">
      <c r="B50" s="249" t="inlineStr">
        <is>
          <t>FMS</t>
        </is>
      </c>
      <c r="C50" s="253" t="inlineStr">
        <is>
          <t>7동작 21점</t>
        </is>
      </c>
      <c r="D50" s="284" t="inlineStr">
        <is>
          <t>14점미만=위험</t>
        </is>
      </c>
      <c r="E50" s="247" t="inlineStr">
        <is>
          <t>움직임 기능</t>
        </is>
      </c>
    </row>
    <row r="52" ht="16.5" customHeight="1" s="192">
      <c r="B52" s="244" t="inlineStr">
        <is>
          <t>[6] ★인지·신경반응 (야구특화)</t>
        </is>
      </c>
    </row>
    <row r="53" ht="15" customHeight="1" s="192">
      <c r="B53" s="230" t="inlineStr">
        <is>
          <t>항목</t>
        </is>
      </c>
      <c r="C53" s="230" t="inlineStr">
        <is>
          <t>측정</t>
        </is>
      </c>
      <c r="D53" s="230" t="inlineStr">
        <is>
          <t>의미</t>
        </is>
      </c>
    </row>
    <row r="54" ht="15" customHeight="1" s="192">
      <c r="B54" s="249" t="inlineStr">
        <is>
          <t>Man in the Box</t>
        </is>
      </c>
      <c r="C54" s="253" t="inlineStr">
        <is>
          <t>4센서 터치속도</t>
        </is>
      </c>
      <c r="D54" s="247" t="inlineStr">
        <is>
          <t>타격 반응속도</t>
        </is>
      </c>
    </row>
    <row r="55" ht="15" customHeight="1" s="192">
      <c r="B55" s="245" t="inlineStr">
        <is>
          <t>동체시력</t>
        </is>
      </c>
      <c r="C55" s="253" t="inlineStr">
        <is>
          <t>-</t>
        </is>
      </c>
      <c r="D55" s="247" t="inlineStr">
        <is>
          <t>공 추적</t>
        </is>
      </c>
    </row>
    <row r="57" ht="16.5" customHeight="1" s="192">
      <c r="B57" s="244" t="inlineStr">
        <is>
          <t>[7] 종목별 국대 프로필 + BioCode</t>
        </is>
      </c>
    </row>
    <row r="58" ht="15" customHeight="1" s="192">
      <c r="B58" s="230" t="inlineStr">
        <is>
          <t>종목</t>
        </is>
      </c>
      <c r="C58" s="230" t="inlineStr">
        <is>
          <t>체지방률</t>
        </is>
      </c>
      <c r="D58" s="230" t="inlineStr">
        <is>
          <t>핵심지표</t>
        </is>
      </c>
      <c r="E58" s="230" t="inlineStr">
        <is>
          <t>베스트코드</t>
        </is>
      </c>
      <c r="F58" s="230" t="inlineStr">
        <is>
          <t>특징</t>
        </is>
      </c>
    </row>
    <row r="59" ht="36.75" customHeight="1" s="192">
      <c r="B59" s="245" t="inlineStr">
        <is>
          <t>야구/투척</t>
        </is>
      </c>
      <c r="C59" s="253" t="inlineStr">
        <is>
          <t>12~16%</t>
        </is>
      </c>
      <c r="D59" s="247" t="inlineStr">
        <is>
          <t>윙스팬+3~5cm·악력65+</t>
        </is>
      </c>
      <c r="E59" s="286" t="inlineStr">
        <is>
          <t>332</t>
        </is>
      </c>
      <c r="F59" s="247" t="inlineStr">
        <is>
          <t>파워</t>
        </is>
      </c>
    </row>
    <row r="60" ht="24" customHeight="1" s="192">
      <c r="B60" s="245" t="inlineStr">
        <is>
          <t>축구</t>
        </is>
      </c>
      <c r="C60" s="253" t="inlineStr">
        <is>
          <t>7~10%</t>
        </is>
      </c>
      <c r="D60" s="253" t="inlineStr">
        <is>
          <t>VO2max60~70·아질리티4.1</t>
        </is>
      </c>
      <c r="E60" s="286" t="inlineStr">
        <is>
          <t>221</t>
        </is>
      </c>
      <c r="F60" s="247" t="inlineStr">
        <is>
          <t>슬림지구력</t>
        </is>
      </c>
    </row>
    <row r="61" ht="26.25" customHeight="1" s="192">
      <c r="B61" s="245" t="inlineStr">
        <is>
          <t>농구·배구</t>
        </is>
      </c>
      <c r="C61" s="253" t="inlineStr">
        <is>
          <t>7~10%</t>
        </is>
      </c>
      <c r="D61" s="247" t="inlineStr">
        <is>
          <t>서전트75~80(특급90~100)</t>
        </is>
      </c>
      <c r="E61" s="286" t="inlineStr">
        <is>
          <t>332</t>
        </is>
      </c>
      <c r="F61" s="247" t="inlineStr">
        <is>
          <t>수직탄력</t>
        </is>
      </c>
    </row>
    <row r="62" ht="26.25" customHeight="1" s="192">
      <c r="B62" s="245" t="inlineStr">
        <is>
          <t>격투·미식축구</t>
        </is>
      </c>
      <c r="C62" s="253" t="inlineStr">
        <is>
          <t>9~13%</t>
        </is>
      </c>
      <c r="D62" s="247" t="inlineStr">
        <is>
          <t>벤치25~30회·3대합4.5~5배</t>
        </is>
      </c>
      <c r="E62" s="286" t="inlineStr">
        <is>
          <t>333</t>
        </is>
      </c>
      <c r="F62" s="247" t="inlineStr">
        <is>
          <t>절대근력</t>
        </is>
      </c>
    </row>
    <row r="63" ht="21.75" customHeight="1" s="192">
      <c r="B63" s="245" t="inlineStr">
        <is>
          <t>육상장거리</t>
        </is>
      </c>
      <c r="C63" s="253" t="inlineStr">
        <is>
          <t>5~7%</t>
        </is>
      </c>
      <c r="D63" s="253" t="inlineStr">
        <is>
          <t>VO2max70~80</t>
        </is>
      </c>
      <c r="E63" s="286" t="inlineStr">
        <is>
          <t>211</t>
        </is>
      </c>
      <c r="F63" s="247" t="inlineStr">
        <is>
          <t>극경량</t>
        </is>
      </c>
    </row>
    <row r="64" ht="15" customHeight="1" s="192">
      <c r="B64" s="245" t="inlineStr">
        <is>
          <t>체조</t>
        </is>
      </c>
      <c r="C64" s="253" t="inlineStr">
        <is>
          <t>-</t>
        </is>
      </c>
      <c r="D64" s="247" t="inlineStr">
        <is>
          <t>유연·파워비</t>
        </is>
      </c>
      <c r="E64" s="286" t="inlineStr">
        <is>
          <t>122</t>
        </is>
      </c>
      <c r="F64" s="247" t="inlineStr">
        <is>
          <t>경량균형</t>
        </is>
      </c>
    </row>
    <row r="66" ht="16.5" customHeight="1" s="192">
      <c r="B66" s="244" t="inlineStr">
        <is>
          <t>[8] PAPS·일반체력 (비교군, 인바디 없을때)</t>
        </is>
      </c>
    </row>
    <row r="67" ht="15" customHeight="1" s="192">
      <c r="B67" s="230" t="inlineStr">
        <is>
          <t>항목</t>
        </is>
      </c>
      <c r="C67" s="230" t="inlineStr">
        <is>
          <t>평균</t>
        </is>
      </c>
      <c r="D67" s="230" t="inlineStr">
        <is>
          <t>우수</t>
        </is>
      </c>
      <c r="E67" s="230" t="inlineStr">
        <is>
          <t>비고</t>
        </is>
      </c>
    </row>
    <row r="68" ht="15" customHeight="1" s="192">
      <c r="B68" s="245" t="inlineStr">
        <is>
          <t>악력(중)</t>
        </is>
      </c>
      <c r="C68" s="247" t="inlineStr">
        <is>
          <t>남35/여25kg</t>
        </is>
      </c>
      <c r="D68" s="284" t="inlineStr">
        <is>
          <t>-</t>
        </is>
      </c>
      <c r="E68" s="247" t="inlineStr">
        <is>
          <t>평균</t>
        </is>
      </c>
    </row>
    <row r="69" ht="15" customHeight="1" s="192">
      <c r="B69" s="245" t="inlineStr">
        <is>
          <t>셔틀런(중)</t>
        </is>
      </c>
      <c r="C69" s="247" t="inlineStr">
        <is>
          <t>남50~60회</t>
        </is>
      </c>
      <c r="D69" s="284" t="inlineStr">
        <is>
          <t>-</t>
        </is>
      </c>
      <c r="E69" s="253" t="inlineStr">
        <is>
          <t>3등급</t>
        </is>
      </c>
    </row>
    <row r="70" ht="15" customHeight="1" s="192">
      <c r="B70" s="245" t="inlineStr">
        <is>
          <t>윗몸(1분)</t>
        </is>
      </c>
      <c r="C70" s="253" t="inlineStr">
        <is>
          <t>43~45회</t>
        </is>
      </c>
      <c r="D70" s="284" t="inlineStr">
        <is>
          <t>55회+</t>
        </is>
      </c>
      <c r="E70" s="247" t="inlineStr">
        <is>
          <t>근지구력</t>
        </is>
      </c>
    </row>
    <row r="71" ht="15" customHeight="1" s="192">
      <c r="B71" s="245" t="inlineStr">
        <is>
          <t>앉아앞굽히기</t>
        </is>
      </c>
      <c r="C71" s="253" t="inlineStr">
        <is>
          <t>10~11cm</t>
        </is>
      </c>
      <c r="D71" s="284" t="inlineStr">
        <is>
          <t>18cm+</t>
        </is>
      </c>
      <c r="E71" s="247" t="inlineStr">
        <is>
          <t>유연성</t>
        </is>
      </c>
    </row>
    <row r="72" ht="24" customHeight="1" s="192">
      <c r="B72" s="245" t="inlineStr">
        <is>
          <t>제자리멀리뛰기</t>
        </is>
      </c>
      <c r="C72" s="253" t="inlineStr">
        <is>
          <t>215~220cm</t>
        </is>
      </c>
      <c r="D72" s="284" t="inlineStr">
        <is>
          <t>240cm+(고3 221+)</t>
        </is>
      </c>
      <c r="E72" s="247" t="inlineStr">
        <is>
          <t>순발력</t>
        </is>
      </c>
    </row>
    <row r="73" ht="15" customHeight="1" s="192">
      <c r="B73" s="245" t="inlineStr">
        <is>
          <t>전완플랭크</t>
        </is>
      </c>
      <c r="C73" s="253" t="inlineStr">
        <is>
          <t>-</t>
        </is>
      </c>
      <c r="D73" s="284" t="inlineStr">
        <is>
          <t>3분30초+</t>
        </is>
      </c>
      <c r="E73" s="247" t="inlineStr">
        <is>
          <t>코어</t>
        </is>
      </c>
    </row>
    <row r="75" ht="16.5" customHeight="1" s="192">
      <c r="B75" s="244" t="inlineStr">
        <is>
          <t>[9] 목표 = 고정 닻</t>
        </is>
      </c>
    </row>
    <row r="76" ht="15" customHeight="1" s="192">
      <c r="B76" s="230" t="inlineStr">
        <is>
          <t>레벨</t>
        </is>
      </c>
      <c r="C76" s="230" t="inlineStr">
        <is>
          <t>구속</t>
        </is>
      </c>
      <c r="D76" s="230" t="inlineStr">
        <is>
          <t>신장</t>
        </is>
      </c>
      <c r="E76" s="230" t="inlineStr">
        <is>
          <t>스프린트</t>
        </is>
      </c>
      <c r="F76" s="230" t="inlineStr">
        <is>
          <t>기타</t>
        </is>
      </c>
    </row>
    <row r="77" ht="15" customHeight="1" s="192">
      <c r="B77" s="245" t="inlineStr">
        <is>
          <t>대학★</t>
        </is>
      </c>
      <c r="C77" s="287" t="inlineStr">
        <is>
          <t>140km</t>
        </is>
      </c>
      <c r="D77" s="287" t="inlineStr">
        <is>
          <t>182cm</t>
        </is>
      </c>
      <c r="E77" s="287" t="inlineStr">
        <is>
          <t>100m 11.4초</t>
        </is>
      </c>
      <c r="F77" s="288" t="inlineStr">
        <is>
          <t>팝타임2.0</t>
        </is>
      </c>
    </row>
    <row r="78" ht="26.25" customHeight="1" s="192">
      <c r="B78" s="245" t="inlineStr">
        <is>
          <t>프로★</t>
        </is>
      </c>
      <c r="C78" s="287" t="inlineStr">
        <is>
          <t>143~148km</t>
        </is>
      </c>
      <c r="D78" s="287" t="inlineStr">
        <is>
          <t>183cm</t>
        </is>
      </c>
      <c r="E78" s="287" t="inlineStr">
        <is>
          <t>30m 3.8~3.9초</t>
        </is>
      </c>
      <c r="F78" s="288" t="inlineStr">
        <is>
          <t>멀리뛰기275·악력65</t>
        </is>
      </c>
    </row>
    <row r="79" ht="24" customHeight="1" s="192">
      <c r="B79" s="245" t="inlineStr">
        <is>
          <t>메이저★</t>
        </is>
      </c>
      <c r="C79" s="287" t="inlineStr">
        <is>
          <t>147km</t>
        </is>
      </c>
      <c r="D79" s="287" t="inlineStr">
        <is>
          <t>190cm</t>
        </is>
      </c>
      <c r="E79" s="287" t="inlineStr">
        <is>
          <t>30야드3.5~3.6</t>
        </is>
      </c>
      <c r="F79" s="288" t="inlineStr">
        <is>
          <t>윙스팬+3~5</t>
        </is>
      </c>
    </row>
    <row r="81" ht="24.75" customHeight="1" s="192">
      <c r="B81" s="289" t="inlineStr">
        <is>
          <t>★핵심: 구속=투수 최우선 지표(KBO신인 구속-WAR 양의상관) | 출처: KBO·KBSA·KISS·드라이브라인·MLB컴바인·PAPS·국민체력100·송홍선2019·주윤태 | 나무위키=★재검증</t>
        </is>
      </c>
    </row>
    <row r="83" ht="18.75" customHeight="1" s="192">
      <c r="B83" s="290" t="inlineStr">
        <is>
          <t>[10] ★나이별 '현재 기대치' — 성장곡선 보간 (목표는 고정, 기대치만 나이별)</t>
        </is>
      </c>
    </row>
    <row r="84" ht="15" customHeight="1" s="192">
      <c r="B84" s="291" t="inlineStr">
        <is>
          <t>핵심: 목표선은 나이 무관 고정 / 또래 기대치만 나이별 수식 → 같은 기록도 나이로 해석 다름</t>
        </is>
      </c>
    </row>
    <row r="85" ht="15" customHeight="1" s="192">
      <c r="B85" s="292" t="inlineStr">
        <is>
          <t>나이</t>
        </is>
      </c>
      <c r="C85" s="292" t="inlineStr">
        <is>
          <t>또래 기대(수식)</t>
        </is>
      </c>
      <c r="D85" s="292" t="inlineStr">
        <is>
          <t>프로 목표(고정)</t>
        </is>
      </c>
      <c r="E85" s="292" t="inlineStr">
        <is>
          <t>해석 예시</t>
        </is>
      </c>
      <c r="F85" s="276" t="n"/>
      <c r="G85" s="276" t="n"/>
      <c r="H85" s="277" t="n"/>
    </row>
    <row r="86" ht="15" customHeight="1" s="192">
      <c r="B86" s="293" t="inlineStr">
        <is>
          <t>중2 (14세)</t>
        </is>
      </c>
      <c r="C86" s="294" t="inlineStr">
        <is>
          <t>~110km</t>
        </is>
      </c>
      <c r="D86" s="295" t="inlineStr">
        <is>
          <t>143km</t>
        </is>
      </c>
      <c r="E86" s="251" t="inlineStr">
        <is>
          <t>125면 또래 훨씬 위 → 순항 (희망)</t>
        </is>
      </c>
      <c r="F86" s="276" t="n"/>
      <c r="G86" s="276" t="n"/>
      <c r="H86" s="277" t="n"/>
    </row>
    <row r="87" ht="15" customHeight="1" s="192">
      <c r="B87" s="296" t="inlineStr">
        <is>
          <t>중3 (15세)</t>
        </is>
      </c>
      <c r="C87" s="297" t="inlineStr">
        <is>
          <t>~118km</t>
        </is>
      </c>
      <c r="D87" s="295" t="inlineStr">
        <is>
          <t>143km</t>
        </is>
      </c>
      <c r="E87" s="248" t="inlineStr">
        <is>
          <t>급성장기 — 변동 큼</t>
        </is>
      </c>
      <c r="F87" s="276" t="n"/>
      <c r="G87" s="276" t="n"/>
      <c r="H87" s="277" t="n"/>
    </row>
    <row r="88" ht="15" customHeight="1" s="192">
      <c r="B88" s="296" t="inlineStr">
        <is>
          <t>고1 (16세)</t>
        </is>
      </c>
      <c r="C88" s="297" t="inlineStr">
        <is>
          <t>~128km</t>
        </is>
      </c>
      <c r="D88" s="295" t="inlineStr">
        <is>
          <t>143km</t>
        </is>
      </c>
      <c r="E88" s="248" t="inlineStr">
        <is>
          <t>고교 진입 기준선</t>
        </is>
      </c>
      <c r="F88" s="276" t="n"/>
      <c r="G88" s="276" t="n"/>
      <c r="H88" s="277" t="n"/>
    </row>
    <row r="89" ht="15" customHeight="1" s="192">
      <c r="B89" s="298" t="inlineStr">
        <is>
          <t>고3 (18세)</t>
        </is>
      </c>
      <c r="C89" s="299" t="inlineStr">
        <is>
          <t>~135km</t>
        </is>
      </c>
      <c r="D89" s="295" t="inlineStr">
        <is>
          <t>143km</t>
        </is>
      </c>
      <c r="E89" s="251" t="inlineStr">
        <is>
          <t>132면 또래 아래 → 분발</t>
        </is>
      </c>
      <c r="F89" s="276" t="n"/>
      <c r="G89" s="276" t="n"/>
      <c r="H89" s="277" t="n"/>
    </row>
    <row r="90" ht="15" customHeight="1" s="192">
      <c r="B90" s="300" t="inlineStr">
        <is>
          <t>대학 (20세)</t>
        </is>
      </c>
      <c r="C90" s="280" t="inlineStr">
        <is>
          <t>140km</t>
        </is>
      </c>
      <c r="D90" s="295" t="inlineStr">
        <is>
          <t>143km</t>
        </is>
      </c>
      <c r="E90" s="248" t="inlineStr">
        <is>
          <t>목표 근접 — 실측 닻</t>
        </is>
      </c>
      <c r="F90" s="276" t="n"/>
      <c r="G90" s="276" t="n"/>
      <c r="H90" s="277" t="n"/>
    </row>
    <row r="91" ht="15" customHeight="1" s="192">
      <c r="B91" s="226" t="inlineStr">
        <is>
          <t>※수치는 예시 — 실제는 질병청 성장도표 LMS + 실측 닻으로 산출 (사춘기 급성장 반영, 단순비례 아님)</t>
        </is>
      </c>
    </row>
    <row r="93" ht="16.5" customHeight="1" s="192">
      <c r="B93" s="258" t="inlineStr">
        <is>
          <t>■ 3점 비교 진단 (나이별 기대치 → 현재 → 고정목표)</t>
        </is>
      </c>
    </row>
    <row r="94" ht="15" customHeight="1" s="192">
      <c r="B94" s="292" t="inlineStr">
        <is>
          <t>① 또래 기대치</t>
        </is>
      </c>
      <c r="C94" s="277" t="n"/>
      <c r="D94" s="292" t="inlineStr">
        <is>
          <t>② 현재 기록</t>
        </is>
      </c>
      <c r="E94" s="277" t="n"/>
      <c r="F94" s="292" t="inlineStr">
        <is>
          <t>③ 최종 목표</t>
        </is>
      </c>
      <c r="G94" s="277" t="n"/>
    </row>
    <row r="95" ht="15" customHeight="1" s="192">
      <c r="B95" s="293" t="inlineStr">
        <is>
          <t>나이별 수식</t>
        </is>
      </c>
      <c r="C95" s="277" t="n"/>
      <c r="D95" s="300" t="inlineStr">
        <is>
          <t>실측</t>
        </is>
      </c>
      <c r="E95" s="277" t="n"/>
      <c r="F95" s="298" t="inlineStr">
        <is>
          <t>고정 닻</t>
        </is>
      </c>
      <c r="G95" s="277" t="n"/>
    </row>
    <row r="96" ht="29.25" customHeight="1" s="192">
      <c r="B96" s="301" t="inlineStr">
        <is>
          <t>★같은 125km도 — 중2: '또래 압도+프로 순항'(희망) / 고3: '또래 아래, 가속 필요'(분발) → 나이를 알아야 정확한 진단!</t>
        </is>
      </c>
    </row>
  </sheetData>
  <mergeCells count="29">
    <mergeCell ref="B2:G2"/>
    <mergeCell ref="B84:H84"/>
    <mergeCell ref="B83:H83"/>
    <mergeCell ref="B23:G23"/>
    <mergeCell ref="B57:G57"/>
    <mergeCell ref="E85:H85"/>
    <mergeCell ref="B44:G44"/>
    <mergeCell ref="B34:G34"/>
    <mergeCell ref="D95:E95"/>
    <mergeCell ref="F95:G95"/>
    <mergeCell ref="B91:H91"/>
    <mergeCell ref="B52:G52"/>
    <mergeCell ref="F94:G94"/>
    <mergeCell ref="B15:G15"/>
    <mergeCell ref="B93:H93"/>
    <mergeCell ref="B96:H96"/>
    <mergeCell ref="B5:G5"/>
    <mergeCell ref="E88:H88"/>
    <mergeCell ref="B75:G75"/>
    <mergeCell ref="E87:H87"/>
    <mergeCell ref="B3:G3"/>
    <mergeCell ref="B81:G81"/>
    <mergeCell ref="B66:G66"/>
    <mergeCell ref="B95:C95"/>
    <mergeCell ref="E90:H90"/>
    <mergeCell ref="E86:H86"/>
    <mergeCell ref="B94:C94"/>
    <mergeCell ref="D94:E94"/>
    <mergeCell ref="E89:H8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191" min="1" max="1"/>
    <col width="20" customWidth="1" style="191" min="2" max="2"/>
    <col width="16" customWidth="1" style="191" min="3" max="3"/>
    <col width="22" customWidth="1" style="191" min="4" max="4"/>
    <col width="20" customWidth="1" style="191" min="5" max="5"/>
    <col width="16" customWidth="1" style="191" min="6" max="6"/>
  </cols>
  <sheetData>
    <row r="1" ht="19.5" customHeight="1" s="192">
      <c r="A1" s="302" t="inlineStr">
        <is>
          <t>9가지 경우 정의 — 3축 × 3단계 (이것만 정의하면 27코드 자동 조합)</t>
        </is>
      </c>
    </row>
    <row r="2" ht="15" customHeight="1" s="192">
      <c r="A2" s="303" t="inlineStr">
        <is>
          <t>★ MBTI 원리: 각 자리·단계의 특성만 정의 → 조합으로 27개 생성. 같은 자리·숫자=항상 같은 특성.</t>
        </is>
      </c>
    </row>
    <row r="4" ht="16.5" customHeight="1" s="192">
      <c r="A4" s="304" t="inlineStr">
        <is>
          <t>【1번 선천 / 과거 / 유전 60%】</t>
        </is>
      </c>
    </row>
    <row r="5" ht="15" customHeight="1" s="192">
      <c r="A5" s="216" t="inlineStr">
        <is>
          <t>단계</t>
        </is>
      </c>
      <c r="B5" s="216" t="inlineStr">
        <is>
          <t>타고난몸</t>
        </is>
      </c>
      <c r="C5" s="216" t="inlineStr">
        <is>
          <t>체질</t>
        </is>
      </c>
      <c r="D5" s="216" t="inlineStr">
        <is>
          <t>정신기질</t>
        </is>
      </c>
      <c r="E5" s="216" t="inlineStr">
        <is>
          <t>예상키경향</t>
        </is>
      </c>
    </row>
    <row r="6" ht="15" customHeight="1" s="192">
      <c r="A6" s="305" t="n">
        <v>1</v>
      </c>
      <c r="B6" s="306" t="inlineStr">
        <is>
          <t>슬림·작은 골격</t>
        </is>
      </c>
      <c r="C6" s="306" t="inlineStr">
        <is>
          <t>소음인(예민 위장)</t>
        </is>
      </c>
      <c r="D6" s="306" t="inlineStr">
        <is>
          <t>情과다·예민</t>
        </is>
      </c>
      <c r="E6" s="306" t="inlineStr">
        <is>
          <t>작은 편</t>
        </is>
      </c>
    </row>
    <row r="7" ht="15" customHeight="1" s="192">
      <c r="A7" s="305" t="n">
        <v>2</v>
      </c>
      <c r="B7" s="306" t="inlineStr">
        <is>
          <t>중간 프레임</t>
        </is>
      </c>
      <c r="C7" s="306" t="inlineStr">
        <is>
          <t>소양인(과연소)</t>
        </is>
      </c>
      <c r="D7" s="306" t="inlineStr">
        <is>
          <t>心 주재·보통</t>
        </is>
      </c>
      <c r="E7" s="306" t="inlineStr">
        <is>
          <t>중간</t>
        </is>
      </c>
    </row>
    <row r="8" ht="15" customHeight="1" s="192">
      <c r="A8" s="305" t="n">
        <v>3</v>
      </c>
      <c r="B8" s="306" t="inlineStr">
        <is>
          <t>장대한 골격</t>
        </is>
      </c>
      <c r="C8" s="306" t="inlineStr">
        <is>
          <t>태음인(고흡수)</t>
        </is>
      </c>
      <c r="D8" s="306" t="inlineStr">
        <is>
          <t>性 본연·강철멘탈</t>
        </is>
      </c>
      <c r="E8" s="306" t="inlineStr">
        <is>
          <t>큰 편</t>
        </is>
      </c>
    </row>
    <row r="10" ht="16.5" customHeight="1" s="192">
      <c r="A10" s="304" t="inlineStr">
        <is>
          <t>【2번 대사 / 현재 / 후천 22%】 ← "바꿀 것"이 여기</t>
        </is>
      </c>
    </row>
    <row r="11" ht="15" customHeight="1" s="192">
      <c r="A11" s="216" t="inlineStr">
        <is>
          <t>단계</t>
        </is>
      </c>
      <c r="B11" s="216" t="inlineStr">
        <is>
          <t>현재몸</t>
        </is>
      </c>
      <c r="C11" s="216" t="inlineStr">
        <is>
          <t>흡수</t>
        </is>
      </c>
      <c r="D11" s="216" t="inlineStr">
        <is>
          <t>식단</t>
        </is>
      </c>
      <c r="E11" s="216" t="inlineStr">
        <is>
          <t>식사방법</t>
        </is>
      </c>
      <c r="F11" s="216" t="inlineStr">
        <is>
          <t>간식</t>
        </is>
      </c>
    </row>
    <row r="12" ht="15" customHeight="1" s="192">
      <c r="A12" s="305" t="n">
        <v>1</v>
      </c>
      <c r="B12" s="306" t="inlineStr">
        <is>
          <t>마름·저장약</t>
        </is>
      </c>
      <c r="C12" s="306" t="inlineStr">
        <is>
          <t>막힘</t>
        </is>
      </c>
      <c r="D12" s="306" t="inlineStr">
        <is>
          <t>소화쉬운 고영양밀도</t>
        </is>
      </c>
      <c r="E12" s="307" t="inlineStr">
        <is>
          <t>6끼 분할·소량자주</t>
        </is>
      </c>
      <c r="F12" s="306" t="inlineStr">
        <is>
          <t>바나나·미숫가루</t>
        </is>
      </c>
    </row>
    <row r="13" ht="15" customHeight="1" s="192">
      <c r="A13" s="305" t="n">
        <v>2</v>
      </c>
      <c r="B13" s="306" t="inlineStr">
        <is>
          <t>보통</t>
        </is>
      </c>
      <c r="C13" s="306" t="inlineStr">
        <is>
          <t>보통</t>
        </is>
      </c>
      <c r="D13" s="306" t="inlineStr">
        <is>
          <t>균형식</t>
        </is>
      </c>
      <c r="E13" s="307" t="inlineStr">
        <is>
          <t>4~5끼</t>
        </is>
      </c>
      <c r="F13" s="306" t="inlineStr">
        <is>
          <t>견과·유제품</t>
        </is>
      </c>
    </row>
    <row r="14" ht="15" customHeight="1" s="192">
      <c r="A14" s="305" t="n">
        <v>3</v>
      </c>
      <c r="B14" s="306" t="inlineStr">
        <is>
          <t>잘 찜·근육잘붙음</t>
        </is>
      </c>
      <c r="C14" s="306" t="inlineStr">
        <is>
          <t>고흡수</t>
        </is>
      </c>
      <c r="D14" s="306" t="inlineStr">
        <is>
          <t>일반식+양 충분</t>
        </is>
      </c>
      <c r="E14" s="307" t="inlineStr">
        <is>
          <t>3끼 충분</t>
        </is>
      </c>
      <c r="F14" s="306" t="inlineStr">
        <is>
          <t>자유</t>
        </is>
      </c>
    </row>
    <row r="16" ht="16.5" customHeight="1" s="192">
      <c r="A16" s="304" t="inlineStr">
        <is>
          <t>【3번 생활 / 현재 / 후천 18%】</t>
        </is>
      </c>
    </row>
    <row r="17" ht="15" customHeight="1" s="192">
      <c r="A17" s="216" t="inlineStr">
        <is>
          <t>단계</t>
        </is>
      </c>
      <c r="B17" s="216" t="inlineStr">
        <is>
          <t>습관(활동)</t>
        </is>
      </c>
      <c r="C17" s="216" t="inlineStr">
        <is>
          <t>수면</t>
        </is>
      </c>
      <c r="D17" s="216" t="inlineStr">
        <is>
          <t>운동방법</t>
        </is>
      </c>
      <c r="E17" s="216" t="inlineStr">
        <is>
          <t>수면처방</t>
        </is>
      </c>
    </row>
    <row r="18" ht="15" customHeight="1" s="192">
      <c r="A18" s="305" t="n">
        <v>1</v>
      </c>
      <c r="B18" s="306" t="inlineStr">
        <is>
          <t>정적·활동부족</t>
        </is>
      </c>
      <c r="C18" s="306" t="inlineStr">
        <is>
          <t>부족·불규칙</t>
        </is>
      </c>
      <c r="D18" s="306" t="inlineStr">
        <is>
          <t>활동량 늘리기·기초체력</t>
        </is>
      </c>
      <c r="E18" s="306" t="inlineStr">
        <is>
          <t>밤10시전 강제취침</t>
        </is>
      </c>
    </row>
    <row r="19" ht="15" customHeight="1" s="192">
      <c r="A19" s="305" t="n">
        <v>2</v>
      </c>
      <c r="B19" s="306" t="inlineStr">
        <is>
          <t>보통 활동</t>
        </is>
      </c>
      <c r="C19" s="306" t="inlineStr">
        <is>
          <t>보통</t>
        </is>
      </c>
      <c r="D19" s="306" t="inlineStr">
        <is>
          <t>종목훈련 유지</t>
        </is>
      </c>
      <c r="E19" s="306" t="inlineStr">
        <is>
          <t>규칙 유지</t>
        </is>
      </c>
    </row>
    <row r="20" ht="15" customHeight="1" s="192">
      <c r="A20" s="305" t="n">
        <v>3</v>
      </c>
      <c r="B20" s="306" t="inlineStr">
        <is>
          <t>활발·고활동</t>
        </is>
      </c>
      <c r="C20" s="306" t="inlineStr">
        <is>
          <t>규칙·충분</t>
        </is>
      </c>
      <c r="D20" s="306" t="inlineStr">
        <is>
          <t>회복·오버트레이닝 관리</t>
        </is>
      </c>
      <c r="E20" s="306" t="inlineStr">
        <is>
          <t>현상 유지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S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191" min="1" max="1"/>
    <col width="6" customWidth="1" style="191" min="2" max="4"/>
    <col width="16" customWidth="1" style="191" min="5" max="6"/>
    <col width="14" customWidth="1" style="191" min="7" max="9"/>
    <col width="10" customWidth="1" style="191" min="10" max="10"/>
    <col width="18" customWidth="1" style="191" min="11" max="11"/>
    <col width="16" customWidth="1" style="191" min="12" max="12"/>
    <col width="14" customWidth="1" style="191" min="13" max="14"/>
    <col width="12" customWidth="1" style="191" min="15" max="15"/>
    <col width="18" customWidth="1" style="191" min="16" max="16"/>
    <col width="8" customWidth="1" style="191" min="17" max="18"/>
    <col width="9" customWidth="1" style="191" min="19" max="19"/>
  </cols>
  <sheetData>
    <row r="1" ht="19.5" customHeight="1" s="192">
      <c r="A1" s="302" t="inlineStr">
        <is>
          <t>27 BioCode 마스터 — 9가지경우정의에서 자동 조합</t>
        </is>
      </c>
    </row>
    <row r="2" ht="15" customHeight="1" s="192">
      <c r="A2" s="308" t="inlineStr">
        <is>
          <t>★ 9가지경우정의 시트만 고치면 여기 27개가 전부 자동 갱신됩니다.</t>
        </is>
      </c>
    </row>
    <row r="4" ht="15" customHeight="1" s="192">
      <c r="A4" s="309" t="inlineStr">
        <is>
          <t>코드</t>
        </is>
      </c>
      <c r="B4" s="309" t="inlineStr">
        <is>
          <t>선천</t>
        </is>
      </c>
      <c r="C4" s="309" t="inlineStr">
        <is>
          <t>대사</t>
        </is>
      </c>
      <c r="D4" s="309" t="inlineStr">
        <is>
          <t>생활</t>
        </is>
      </c>
      <c r="E4" s="309" t="inlineStr">
        <is>
          <t>캐릭터명</t>
        </is>
      </c>
      <c r="F4" s="309" t="inlineStr">
        <is>
          <t>타고난몸</t>
        </is>
      </c>
      <c r="G4" s="309" t="inlineStr">
        <is>
          <t>체질</t>
        </is>
      </c>
      <c r="H4" s="309" t="inlineStr">
        <is>
          <t>정신기질</t>
        </is>
      </c>
      <c r="I4" s="309" t="inlineStr">
        <is>
          <t>현재몸</t>
        </is>
      </c>
      <c r="J4" s="309" t="inlineStr">
        <is>
          <t>흡수</t>
        </is>
      </c>
      <c r="K4" s="309" t="inlineStr">
        <is>
          <t>식단</t>
        </is>
      </c>
      <c r="L4" s="309" t="inlineStr">
        <is>
          <t>식사방법</t>
        </is>
      </c>
      <c r="M4" s="309" t="inlineStr">
        <is>
          <t>간식</t>
        </is>
      </c>
      <c r="N4" s="309" t="inlineStr">
        <is>
          <t>습관</t>
        </is>
      </c>
      <c r="O4" s="309" t="inlineStr">
        <is>
          <t>수면</t>
        </is>
      </c>
      <c r="P4" s="309" t="inlineStr">
        <is>
          <t>운동방법</t>
        </is>
      </c>
      <c r="Q4" s="309" t="inlineStr">
        <is>
          <t>강점</t>
        </is>
      </c>
      <c r="R4" s="309" t="inlineStr">
        <is>
          <t>취약점</t>
        </is>
      </c>
      <c r="S4" s="310" t="n"/>
    </row>
    <row r="5" ht="15" customHeight="1" s="192">
      <c r="A5" s="311" t="inlineStr">
        <is>
          <t>1-1-1</t>
        </is>
      </c>
      <c r="B5" s="312" t="n">
        <v>1</v>
      </c>
      <c r="C5" s="312" t="n">
        <v>1</v>
      </c>
      <c r="D5" s="312" t="n">
        <v>1</v>
      </c>
      <c r="E5" s="313" t="inlineStr">
        <is>
          <t>무한성장 기대주</t>
        </is>
      </c>
      <c r="F5" s="314">
        <f>9가지경우정의!B6</f>
        <v/>
      </c>
      <c r="G5" s="314">
        <f>9가지경우정의!C6</f>
        <v/>
      </c>
      <c r="H5" s="314">
        <f>9가지경우정의!D6</f>
        <v/>
      </c>
      <c r="I5" s="314">
        <f>9가지경우정의!B12</f>
        <v/>
      </c>
      <c r="J5" s="314">
        <f>9가지경우정의!C12</f>
        <v/>
      </c>
      <c r="K5" s="314">
        <f>9가지경우정의!D12</f>
        <v/>
      </c>
      <c r="L5" s="314">
        <f>9가지경우정의!E12</f>
        <v/>
      </c>
      <c r="M5" s="314">
        <f>9가지경우정의!F12</f>
        <v/>
      </c>
      <c r="N5" s="314">
        <f>9가지경우정의!B18</f>
        <v/>
      </c>
      <c r="O5" s="314">
        <f>9가지경우정의!C18</f>
        <v/>
      </c>
      <c r="P5" s="314">
        <f>9가지경우정의!D18</f>
        <v/>
      </c>
      <c r="Q5" s="314">
        <f>IF(AND(B5&gt;=C5,B5&gt;=D5),"선천",IF(AND(C5&gt;=B5,C5&gt;=D5),"대사","생활"))</f>
        <v/>
      </c>
      <c r="R5" s="314">
        <f>IF(AND(B5&lt;=C5,B5&lt;=D5),"선천",IF(AND(C5&lt;=B5,C5&lt;=D5),"대사","생활"))</f>
        <v/>
      </c>
      <c r="S5" s="315" t="n"/>
    </row>
    <row r="6" ht="15" customHeight="1" s="192">
      <c r="A6" s="311" t="inlineStr">
        <is>
          <t>1-1-2</t>
        </is>
      </c>
      <c r="B6" s="312" t="n">
        <v>1</v>
      </c>
      <c r="C6" s="312" t="n">
        <v>1</v>
      </c>
      <c r="D6" s="312" t="n">
        <v>2</v>
      </c>
      <c r="E6" s="313" t="inlineStr">
        <is>
          <t>우리동네 골목대장</t>
        </is>
      </c>
      <c r="F6" s="314">
        <f>9가지경우정의!B6</f>
        <v/>
      </c>
      <c r="G6" s="314">
        <f>9가지경우정의!C6</f>
        <v/>
      </c>
      <c r="H6" s="314">
        <f>9가지경우정의!D6</f>
        <v/>
      </c>
      <c r="I6" s="314">
        <f>9가지경우정의!B12</f>
        <v/>
      </c>
      <c r="J6" s="314">
        <f>9가지경우정의!C12</f>
        <v/>
      </c>
      <c r="K6" s="314">
        <f>9가지경우정의!D12</f>
        <v/>
      </c>
      <c r="L6" s="314">
        <f>9가지경우정의!E12</f>
        <v/>
      </c>
      <c r="M6" s="314">
        <f>9가지경우정의!F12</f>
        <v/>
      </c>
      <c r="N6" s="314">
        <f>9가지경우정의!B19</f>
        <v/>
      </c>
      <c r="O6" s="314">
        <f>9가지경우정의!C19</f>
        <v/>
      </c>
      <c r="P6" s="314">
        <f>9가지경우정의!D19</f>
        <v/>
      </c>
      <c r="Q6" s="314">
        <f>IF(AND(B6&gt;=C6,B6&gt;=D6),"선천",IF(AND(C6&gt;=B6,C6&gt;=D6),"대사","생활"))</f>
        <v/>
      </c>
      <c r="R6" s="314">
        <f>IF(AND(B6&lt;=C6,B6&lt;=D6),"선천",IF(AND(C6&lt;=B6,C6&lt;=D6),"대사","생활"))</f>
        <v/>
      </c>
      <c r="S6" s="315" t="n"/>
    </row>
    <row r="7" ht="15" customHeight="1" s="192">
      <c r="A7" s="311" t="inlineStr">
        <is>
          <t>1-1-3</t>
        </is>
      </c>
      <c r="B7" s="312" t="n">
        <v>1</v>
      </c>
      <c r="C7" s="312" t="n">
        <v>1</v>
      </c>
      <c r="D7" s="312" t="n">
        <v>3</v>
      </c>
      <c r="E7" s="313" t="inlineStr">
        <is>
          <t>상큼발랄 팅커벨</t>
        </is>
      </c>
      <c r="F7" s="314">
        <f>9가지경우정의!B6</f>
        <v/>
      </c>
      <c r="G7" s="314">
        <f>9가지경우정의!C6</f>
        <v/>
      </c>
      <c r="H7" s="314">
        <f>9가지경우정의!D6</f>
        <v/>
      </c>
      <c r="I7" s="314">
        <f>9가지경우정의!B12</f>
        <v/>
      </c>
      <c r="J7" s="314">
        <f>9가지경우정의!C12</f>
        <v/>
      </c>
      <c r="K7" s="314">
        <f>9가지경우정의!D12</f>
        <v/>
      </c>
      <c r="L7" s="314">
        <f>9가지경우정의!E12</f>
        <v/>
      </c>
      <c r="M7" s="314">
        <f>9가지경우정의!F12</f>
        <v/>
      </c>
      <c r="N7" s="314">
        <f>9가지경우정의!B20</f>
        <v/>
      </c>
      <c r="O7" s="314">
        <f>9가지경우정의!C20</f>
        <v/>
      </c>
      <c r="P7" s="314">
        <f>9가지경우정의!D20</f>
        <v/>
      </c>
      <c r="Q7" s="314">
        <f>IF(AND(B7&gt;=C7,B7&gt;=D7),"선천",IF(AND(C7&gt;=B7,C7&gt;=D7),"대사","생활"))</f>
        <v/>
      </c>
      <c r="R7" s="314">
        <f>IF(AND(B7&lt;=C7,B7&lt;=D7),"선천",IF(AND(C7&lt;=B7,C7&lt;=D7),"대사","생활"))</f>
        <v/>
      </c>
      <c r="S7" s="315" t="n"/>
    </row>
    <row r="8" ht="15" customHeight="1" s="192">
      <c r="A8" s="311" t="inlineStr">
        <is>
          <t>1-2-1</t>
        </is>
      </c>
      <c r="B8" s="312" t="n">
        <v>1</v>
      </c>
      <c r="C8" s="312" t="n">
        <v>2</v>
      </c>
      <c r="D8" s="312" t="n">
        <v>1</v>
      </c>
      <c r="E8" s="313" t="inlineStr">
        <is>
          <t>출동준비 비행기</t>
        </is>
      </c>
      <c r="F8" s="314">
        <f>9가지경우정의!B6</f>
        <v/>
      </c>
      <c r="G8" s="314">
        <f>9가지경우정의!C6</f>
        <v/>
      </c>
      <c r="H8" s="314">
        <f>9가지경우정의!D6</f>
        <v/>
      </c>
      <c r="I8" s="314">
        <f>9가지경우정의!B13</f>
        <v/>
      </c>
      <c r="J8" s="314">
        <f>9가지경우정의!C13</f>
        <v/>
      </c>
      <c r="K8" s="314">
        <f>9가지경우정의!D13</f>
        <v/>
      </c>
      <c r="L8" s="314">
        <f>9가지경우정의!E13</f>
        <v/>
      </c>
      <c r="M8" s="314">
        <f>9가지경우정의!F13</f>
        <v/>
      </c>
      <c r="N8" s="314">
        <f>9가지경우정의!B18</f>
        <v/>
      </c>
      <c r="O8" s="314">
        <f>9가지경우정의!C18</f>
        <v/>
      </c>
      <c r="P8" s="314">
        <f>9가지경우정의!D18</f>
        <v/>
      </c>
      <c r="Q8" s="314">
        <f>IF(AND(B8&gt;=C8,B8&gt;=D8),"선천",IF(AND(C8&gt;=B8,C8&gt;=D8),"대사","생활"))</f>
        <v/>
      </c>
      <c r="R8" s="314">
        <f>IF(AND(B8&lt;=C8,B8&lt;=D8),"선천",IF(AND(C8&lt;=B8,C8&lt;=D8),"대사","생활"))</f>
        <v/>
      </c>
      <c r="S8" s="315" t="n"/>
    </row>
    <row r="9" ht="15" customHeight="1" s="192">
      <c r="A9" s="311" t="inlineStr">
        <is>
          <t>1-2-2</t>
        </is>
      </c>
      <c r="B9" s="312" t="n">
        <v>1</v>
      </c>
      <c r="C9" s="312" t="n">
        <v>2</v>
      </c>
      <c r="D9" s="312" t="n">
        <v>2</v>
      </c>
      <c r="E9" s="313" t="inlineStr">
        <is>
          <t>작은고추 매운맛</t>
        </is>
      </c>
      <c r="F9" s="314">
        <f>9가지경우정의!B6</f>
        <v/>
      </c>
      <c r="G9" s="314">
        <f>9가지경우정의!C6</f>
        <v/>
      </c>
      <c r="H9" s="314">
        <f>9가지경우정의!D6</f>
        <v/>
      </c>
      <c r="I9" s="314">
        <f>9가지경우정의!B13</f>
        <v/>
      </c>
      <c r="J9" s="314">
        <f>9가지경우정의!C13</f>
        <v/>
      </c>
      <c r="K9" s="314">
        <f>9가지경우정의!D13</f>
        <v/>
      </c>
      <c r="L9" s="314">
        <f>9가지경우정의!E13</f>
        <v/>
      </c>
      <c r="M9" s="314">
        <f>9가지경우정의!F13</f>
        <v/>
      </c>
      <c r="N9" s="314">
        <f>9가지경우정의!B19</f>
        <v/>
      </c>
      <c r="O9" s="314">
        <f>9가지경우정의!C19</f>
        <v/>
      </c>
      <c r="P9" s="314">
        <f>9가지경우정의!D19</f>
        <v/>
      </c>
      <c r="Q9" s="314">
        <f>IF(AND(B9&gt;=C9,B9&gt;=D9),"선천",IF(AND(C9&gt;=B9,C9&gt;=D9),"대사","생활"))</f>
        <v/>
      </c>
      <c r="R9" s="314">
        <f>IF(AND(B9&lt;=C9,B9&lt;=D9),"선천",IF(AND(C9&lt;=B9,C9&lt;=D9),"대사","생활"))</f>
        <v/>
      </c>
      <c r="S9" s="315" t="n"/>
    </row>
    <row r="10" ht="15" customHeight="1" s="192">
      <c r="A10" s="311" t="inlineStr">
        <is>
          <t>1-2-3</t>
        </is>
      </c>
      <c r="B10" s="312" t="n">
        <v>1</v>
      </c>
      <c r="C10" s="312" t="n">
        <v>2</v>
      </c>
      <c r="D10" s="312" t="n">
        <v>3</v>
      </c>
      <c r="E10" s="313" t="inlineStr">
        <is>
          <t>의지만렙 작은거인</t>
        </is>
      </c>
      <c r="F10" s="314">
        <f>9가지경우정의!B6</f>
        <v/>
      </c>
      <c r="G10" s="314">
        <f>9가지경우정의!C6</f>
        <v/>
      </c>
      <c r="H10" s="314">
        <f>9가지경우정의!D6</f>
        <v/>
      </c>
      <c r="I10" s="314">
        <f>9가지경우정의!B13</f>
        <v/>
      </c>
      <c r="J10" s="314">
        <f>9가지경우정의!C13</f>
        <v/>
      </c>
      <c r="K10" s="314">
        <f>9가지경우정의!D13</f>
        <v/>
      </c>
      <c r="L10" s="314">
        <f>9가지경우정의!E13</f>
        <v/>
      </c>
      <c r="M10" s="314">
        <f>9가지경우정의!F13</f>
        <v/>
      </c>
      <c r="N10" s="314">
        <f>9가지경우정의!B20</f>
        <v/>
      </c>
      <c r="O10" s="314">
        <f>9가지경우정의!C20</f>
        <v/>
      </c>
      <c r="P10" s="314">
        <f>9가지경우정의!D20</f>
        <v/>
      </c>
      <c r="Q10" s="314">
        <f>IF(AND(B10&gt;=C10,B10&gt;=D10),"선천",IF(AND(C10&gt;=B10,C10&gt;=D10),"대사","생활"))</f>
        <v/>
      </c>
      <c r="R10" s="314">
        <f>IF(AND(B10&lt;=C10,B10&lt;=D10),"선천",IF(AND(C10&lt;=B10,C10&lt;=D10),"대사","생활"))</f>
        <v/>
      </c>
      <c r="S10" s="315" t="n"/>
    </row>
    <row r="11" ht="15" customHeight="1" s="192">
      <c r="A11" s="311" t="inlineStr">
        <is>
          <t>1-3-1</t>
        </is>
      </c>
      <c r="B11" s="312" t="n">
        <v>1</v>
      </c>
      <c r="C11" s="312" t="n">
        <v>3</v>
      </c>
      <c r="D11" s="312" t="n">
        <v>1</v>
      </c>
      <c r="E11" s="313" t="inlineStr">
        <is>
          <t>엔진빵빵 클래식카</t>
        </is>
      </c>
      <c r="F11" s="314">
        <f>9가지경우정의!B6</f>
        <v/>
      </c>
      <c r="G11" s="314">
        <f>9가지경우정의!C6</f>
        <v/>
      </c>
      <c r="H11" s="314">
        <f>9가지경우정의!D6</f>
        <v/>
      </c>
      <c r="I11" s="314">
        <f>9가지경우정의!B14</f>
        <v/>
      </c>
      <c r="J11" s="314">
        <f>9가지경우정의!C14</f>
        <v/>
      </c>
      <c r="K11" s="314">
        <f>9가지경우정의!D14</f>
        <v/>
      </c>
      <c r="L11" s="314">
        <f>9가지경우정의!E14</f>
        <v/>
      </c>
      <c r="M11" s="314">
        <f>9가지경우정의!F14</f>
        <v/>
      </c>
      <c r="N11" s="314">
        <f>9가지경우정의!B18</f>
        <v/>
      </c>
      <c r="O11" s="314">
        <f>9가지경우정의!C18</f>
        <v/>
      </c>
      <c r="P11" s="314">
        <f>9가지경우정의!D18</f>
        <v/>
      </c>
      <c r="Q11" s="314">
        <f>IF(AND(B11&gt;=C11,B11&gt;=D11),"선천",IF(AND(C11&gt;=B11,C11&gt;=D11),"대사","생활"))</f>
        <v/>
      </c>
      <c r="R11" s="314">
        <f>IF(AND(B11&lt;=C11,B11&lt;=D11),"선천",IF(AND(C11&lt;=B11,C11&lt;=D11),"대사","생활"))</f>
        <v/>
      </c>
      <c r="S11" s="315" t="n"/>
    </row>
    <row r="12" ht="15" customHeight="1" s="192">
      <c r="A12" s="311" t="inlineStr">
        <is>
          <t>1-3-2</t>
        </is>
      </c>
      <c r="B12" s="312" t="n">
        <v>1</v>
      </c>
      <c r="C12" s="312" t="n">
        <v>3</v>
      </c>
      <c r="D12" s="312" t="n">
        <v>2</v>
      </c>
      <c r="E12" s="313" t="inlineStr">
        <is>
          <t>알짜배기 깡다구</t>
        </is>
      </c>
      <c r="F12" s="314">
        <f>9가지경우정의!B6</f>
        <v/>
      </c>
      <c r="G12" s="314">
        <f>9가지경우정의!C6</f>
        <v/>
      </c>
      <c r="H12" s="314">
        <f>9가지경우정의!D6</f>
        <v/>
      </c>
      <c r="I12" s="314">
        <f>9가지경우정의!B14</f>
        <v/>
      </c>
      <c r="J12" s="314">
        <f>9가지경우정의!C14</f>
        <v/>
      </c>
      <c r="K12" s="314">
        <f>9가지경우정의!D14</f>
        <v/>
      </c>
      <c r="L12" s="314">
        <f>9가지경우정의!E14</f>
        <v/>
      </c>
      <c r="M12" s="314">
        <f>9가지경우정의!F14</f>
        <v/>
      </c>
      <c r="N12" s="314">
        <f>9가지경우정의!B19</f>
        <v/>
      </c>
      <c r="O12" s="314">
        <f>9가지경우정의!C19</f>
        <v/>
      </c>
      <c r="P12" s="314">
        <f>9가지경우정의!D19</f>
        <v/>
      </c>
      <c r="Q12" s="314">
        <f>IF(AND(B12&gt;=C12,B12&gt;=D12),"선천",IF(AND(C12&gt;=B12,C12&gt;=D12),"대사","생활"))</f>
        <v/>
      </c>
      <c r="R12" s="314">
        <f>IF(AND(B12&lt;=C12,B12&lt;=D12),"선천",IF(AND(C12&lt;=B12,C12&lt;=D12),"대사","생활"))</f>
        <v/>
      </c>
      <c r="S12" s="315" t="n"/>
    </row>
    <row r="13" ht="15" customHeight="1" s="192">
      <c r="A13" s="311" t="inlineStr">
        <is>
          <t>1-3-3</t>
        </is>
      </c>
      <c r="B13" s="312" t="n">
        <v>1</v>
      </c>
      <c r="C13" s="312" t="n">
        <v>3</v>
      </c>
      <c r="D13" s="312" t="n">
        <v>3</v>
      </c>
      <c r="E13" s="313" t="inlineStr">
        <is>
          <t>대기만성 반전매력</t>
        </is>
      </c>
      <c r="F13" s="314">
        <f>9가지경우정의!B6</f>
        <v/>
      </c>
      <c r="G13" s="314">
        <f>9가지경우정의!C6</f>
        <v/>
      </c>
      <c r="H13" s="314">
        <f>9가지경우정의!D6</f>
        <v/>
      </c>
      <c r="I13" s="314">
        <f>9가지경우정의!B14</f>
        <v/>
      </c>
      <c r="J13" s="314">
        <f>9가지경우정의!C14</f>
        <v/>
      </c>
      <c r="K13" s="314">
        <f>9가지경우정의!D14</f>
        <v/>
      </c>
      <c r="L13" s="314">
        <f>9가지경우정의!E14</f>
        <v/>
      </c>
      <c r="M13" s="314">
        <f>9가지경우정의!F14</f>
        <v/>
      </c>
      <c r="N13" s="314">
        <f>9가지경우정의!B20</f>
        <v/>
      </c>
      <c r="O13" s="314">
        <f>9가지경우정의!C20</f>
        <v/>
      </c>
      <c r="P13" s="314">
        <f>9가지경우정의!D20</f>
        <v/>
      </c>
      <c r="Q13" s="314">
        <f>IF(AND(B13&gt;=C13,B13&gt;=D13),"선천",IF(AND(C13&gt;=B13,C13&gt;=D13),"대사","생활"))</f>
        <v/>
      </c>
      <c r="R13" s="314">
        <f>IF(AND(B13&lt;=C13,B13&lt;=D13),"선천",IF(AND(C13&lt;=B13,C13&lt;=D13),"대사","생활"))</f>
        <v/>
      </c>
      <c r="S13" s="315" t="n"/>
    </row>
    <row r="14" ht="15" customHeight="1" s="192">
      <c r="A14" s="311" t="inlineStr">
        <is>
          <t>2-1-1</t>
        </is>
      </c>
      <c r="B14" s="312" t="n">
        <v>2</v>
      </c>
      <c r="C14" s="312" t="n">
        <v>1</v>
      </c>
      <c r="D14" s="312" t="n">
        <v>1</v>
      </c>
      <c r="E14" s="313" t="inlineStr">
        <is>
          <t>비상임박 유망주</t>
        </is>
      </c>
      <c r="F14" s="314">
        <f>9가지경우정의!B7</f>
        <v/>
      </c>
      <c r="G14" s="314">
        <f>9가지경우정의!C7</f>
        <v/>
      </c>
      <c r="H14" s="314">
        <f>9가지경우정의!D7</f>
        <v/>
      </c>
      <c r="I14" s="314">
        <f>9가지경우정의!B12</f>
        <v/>
      </c>
      <c r="J14" s="314">
        <f>9가지경우정의!C12</f>
        <v/>
      </c>
      <c r="K14" s="314">
        <f>9가지경우정의!D12</f>
        <v/>
      </c>
      <c r="L14" s="314">
        <f>9가지경우정의!E12</f>
        <v/>
      </c>
      <c r="M14" s="314">
        <f>9가지경우정의!F12</f>
        <v/>
      </c>
      <c r="N14" s="314">
        <f>9가지경우정의!B18</f>
        <v/>
      </c>
      <c r="O14" s="314">
        <f>9가지경우정의!C18</f>
        <v/>
      </c>
      <c r="P14" s="314">
        <f>9가지경우정의!D18</f>
        <v/>
      </c>
      <c r="Q14" s="314">
        <f>IF(AND(B14&gt;=C14,B14&gt;=D14),"선천",IF(AND(C14&gt;=B14,C14&gt;=D14),"대사","생활"))</f>
        <v/>
      </c>
      <c r="R14" s="314">
        <f>IF(AND(B14&lt;=C14,B14&lt;=D14),"선천",IF(AND(C14&lt;=B14,C14&lt;=D14),"대사","생활"))</f>
        <v/>
      </c>
      <c r="S14" s="315" t="n"/>
    </row>
    <row r="15" ht="15" customHeight="1" s="192">
      <c r="A15" s="311" t="inlineStr">
        <is>
          <t>2-1-2</t>
        </is>
      </c>
      <c r="B15" s="312" t="n">
        <v>2</v>
      </c>
      <c r="C15" s="312" t="n">
        <v>1</v>
      </c>
      <c r="D15" s="312" t="n">
        <v>2</v>
      </c>
      <c r="E15" s="313" t="inlineStr">
        <is>
          <t>내일향한 숨고르기</t>
        </is>
      </c>
      <c r="F15" s="314">
        <f>9가지경우정의!B7</f>
        <v/>
      </c>
      <c r="G15" s="314">
        <f>9가지경우정의!C7</f>
        <v/>
      </c>
      <c r="H15" s="314">
        <f>9가지경우정의!D7</f>
        <v/>
      </c>
      <c r="I15" s="314">
        <f>9가지경우정의!B12</f>
        <v/>
      </c>
      <c r="J15" s="314">
        <f>9가지경우정의!C12</f>
        <v/>
      </c>
      <c r="K15" s="314">
        <f>9가지경우정의!D12</f>
        <v/>
      </c>
      <c r="L15" s="314">
        <f>9가지경우정의!E12</f>
        <v/>
      </c>
      <c r="M15" s="314">
        <f>9가지경우정의!F12</f>
        <v/>
      </c>
      <c r="N15" s="314">
        <f>9가지경우정의!B19</f>
        <v/>
      </c>
      <c r="O15" s="314">
        <f>9가지경우정의!C19</f>
        <v/>
      </c>
      <c r="P15" s="314">
        <f>9가지경우정의!D19</f>
        <v/>
      </c>
      <c r="Q15" s="314">
        <f>IF(AND(B15&gt;=C15,B15&gt;=D15),"선천",IF(AND(C15&gt;=B15,C15&gt;=D15),"대사","생활"))</f>
        <v/>
      </c>
      <c r="R15" s="314">
        <f>IF(AND(B15&lt;=C15,B15&lt;=D15),"선천",IF(AND(C15&lt;=B15,C15&lt;=D15),"대사","생활"))</f>
        <v/>
      </c>
      <c r="S15" s="315" t="n"/>
    </row>
    <row r="16" ht="15" customHeight="1" s="192">
      <c r="A16" s="311" t="inlineStr">
        <is>
          <t>2-1-3</t>
        </is>
      </c>
      <c r="B16" s="312" t="n">
        <v>2</v>
      </c>
      <c r="C16" s="312" t="n">
        <v>1</v>
      </c>
      <c r="D16" s="312" t="n">
        <v>3</v>
      </c>
      <c r="E16" s="313" t="inlineStr">
        <is>
          <t>안절부절 바른생활</t>
        </is>
      </c>
      <c r="F16" s="314">
        <f>9가지경우정의!B7</f>
        <v/>
      </c>
      <c r="G16" s="314">
        <f>9가지경우정의!C7</f>
        <v/>
      </c>
      <c r="H16" s="314">
        <f>9가지경우정의!D7</f>
        <v/>
      </c>
      <c r="I16" s="314">
        <f>9가지경우정의!B12</f>
        <v/>
      </c>
      <c r="J16" s="314">
        <f>9가지경우정의!C12</f>
        <v/>
      </c>
      <c r="K16" s="314">
        <f>9가지경우정의!D12</f>
        <v/>
      </c>
      <c r="L16" s="314">
        <f>9가지경우정의!E12</f>
        <v/>
      </c>
      <c r="M16" s="314">
        <f>9가지경우정의!F12</f>
        <v/>
      </c>
      <c r="N16" s="314">
        <f>9가지경우정의!B20</f>
        <v/>
      </c>
      <c r="O16" s="314">
        <f>9가지경우정의!C20</f>
        <v/>
      </c>
      <c r="P16" s="314">
        <f>9가지경우정의!D20</f>
        <v/>
      </c>
      <c r="Q16" s="314">
        <f>IF(AND(B16&gt;=C16,B16&gt;=D16),"선천",IF(AND(C16&gt;=B16,C16&gt;=D16),"대사","생활"))</f>
        <v/>
      </c>
      <c r="R16" s="314">
        <f>IF(AND(B16&lt;=C16,B16&lt;=D16),"선천",IF(AND(C16&lt;=B16,C16&lt;=D16),"대사","생활"))</f>
        <v/>
      </c>
      <c r="S16" s="315" t="n"/>
    </row>
    <row r="17" ht="15" customHeight="1" s="192">
      <c r="A17" s="311" t="inlineStr">
        <is>
          <t>2-2-1</t>
        </is>
      </c>
      <c r="B17" s="312" t="n">
        <v>2</v>
      </c>
      <c r="C17" s="312" t="n">
        <v>2</v>
      </c>
      <c r="D17" s="312" t="n">
        <v>1</v>
      </c>
      <c r="E17" s="313" t="inlineStr">
        <is>
          <t>여유만만 도련님</t>
        </is>
      </c>
      <c r="F17" s="314">
        <f>9가지경우정의!B7</f>
        <v/>
      </c>
      <c r="G17" s="314">
        <f>9가지경우정의!C7</f>
        <v/>
      </c>
      <c r="H17" s="314">
        <f>9가지경우정의!D7</f>
        <v/>
      </c>
      <c r="I17" s="314">
        <f>9가지경우정의!B13</f>
        <v/>
      </c>
      <c r="J17" s="314">
        <f>9가지경우정의!C13</f>
        <v/>
      </c>
      <c r="K17" s="314">
        <f>9가지경우정의!D13</f>
        <v/>
      </c>
      <c r="L17" s="314">
        <f>9가지경우정의!E13</f>
        <v/>
      </c>
      <c r="M17" s="314">
        <f>9가지경우정의!F13</f>
        <v/>
      </c>
      <c r="N17" s="314">
        <f>9가지경우정의!B18</f>
        <v/>
      </c>
      <c r="O17" s="314">
        <f>9가지경우정의!C18</f>
        <v/>
      </c>
      <c r="P17" s="314">
        <f>9가지경우정의!D18</f>
        <v/>
      </c>
      <c r="Q17" s="314">
        <f>IF(AND(B17&gt;=C17,B17&gt;=D17),"선천",IF(AND(C17&gt;=B17,C17&gt;=D17),"대사","생활"))</f>
        <v/>
      </c>
      <c r="R17" s="314">
        <f>IF(AND(B17&lt;=C17,B17&lt;=D17),"선천",IF(AND(C17&lt;=B17,C17&lt;=D17),"대사","생활"))</f>
        <v/>
      </c>
      <c r="S17" s="315" t="n"/>
    </row>
    <row r="18" ht="15" customHeight="1" s="192">
      <c r="A18" s="311" t="inlineStr">
        <is>
          <t>2-2-2</t>
        </is>
      </c>
      <c r="B18" s="312" t="n">
        <v>2</v>
      </c>
      <c r="C18" s="312" t="n">
        <v>2</v>
      </c>
      <c r="D18" s="312" t="n">
        <v>2</v>
      </c>
      <c r="E18" s="313" t="inlineStr">
        <is>
          <t>이세계의 무게중심</t>
        </is>
      </c>
      <c r="F18" s="314">
        <f>9가지경우정의!B7</f>
        <v/>
      </c>
      <c r="G18" s="314">
        <f>9가지경우정의!C7</f>
        <v/>
      </c>
      <c r="H18" s="314">
        <f>9가지경우정의!D7</f>
        <v/>
      </c>
      <c r="I18" s="314">
        <f>9가지경우정의!B13</f>
        <v/>
      </c>
      <c r="J18" s="314">
        <f>9가지경우정의!C13</f>
        <v/>
      </c>
      <c r="K18" s="314">
        <f>9가지경우정의!D13</f>
        <v/>
      </c>
      <c r="L18" s="314">
        <f>9가지경우정의!E13</f>
        <v/>
      </c>
      <c r="M18" s="314">
        <f>9가지경우정의!F13</f>
        <v/>
      </c>
      <c r="N18" s="314">
        <f>9가지경우정의!B19</f>
        <v/>
      </c>
      <c r="O18" s="314">
        <f>9가지경우정의!C19</f>
        <v/>
      </c>
      <c r="P18" s="314">
        <f>9가지경우정의!D19</f>
        <v/>
      </c>
      <c r="Q18" s="314">
        <f>IF(AND(B18&gt;=C18,B18&gt;=D18),"선천",IF(AND(C18&gt;=B18,C18&gt;=D18),"대사","생활"))</f>
        <v/>
      </c>
      <c r="R18" s="314">
        <f>IF(AND(B18&lt;=C18,B18&lt;=D18),"선천",IF(AND(C18&lt;=B18,C18&lt;=D18),"대사","생활"))</f>
        <v/>
      </c>
      <c r="S18" s="315" t="n"/>
    </row>
    <row r="19" ht="15" customHeight="1" s="192">
      <c r="A19" s="311" t="inlineStr">
        <is>
          <t>2-2-3</t>
        </is>
      </c>
      <c r="B19" s="312" t="n">
        <v>2</v>
      </c>
      <c r="C19" s="312" t="n">
        <v>2</v>
      </c>
      <c r="D19" s="312" t="n">
        <v>3</v>
      </c>
      <c r="E19" s="313" t="inlineStr">
        <is>
          <t>바른생활 부반장</t>
        </is>
      </c>
      <c r="F19" s="314">
        <f>9가지경우정의!B7</f>
        <v/>
      </c>
      <c r="G19" s="314">
        <f>9가지경우정의!C7</f>
        <v/>
      </c>
      <c r="H19" s="314">
        <f>9가지경우정의!D7</f>
        <v/>
      </c>
      <c r="I19" s="314">
        <f>9가지경우정의!B13</f>
        <v/>
      </c>
      <c r="J19" s="314">
        <f>9가지경우정의!C13</f>
        <v/>
      </c>
      <c r="K19" s="314">
        <f>9가지경우정의!D13</f>
        <v/>
      </c>
      <c r="L19" s="314">
        <f>9가지경우정의!E13</f>
        <v/>
      </c>
      <c r="M19" s="314">
        <f>9가지경우정의!F13</f>
        <v/>
      </c>
      <c r="N19" s="314">
        <f>9가지경우정의!B20</f>
        <v/>
      </c>
      <c r="O19" s="314">
        <f>9가지경우정의!C20</f>
        <v/>
      </c>
      <c r="P19" s="314">
        <f>9가지경우정의!D20</f>
        <v/>
      </c>
      <c r="Q19" s="314">
        <f>IF(AND(B19&gt;=C19,B19&gt;=D19),"선천",IF(AND(C19&gt;=B19,C19&gt;=D19),"대사","생활"))</f>
        <v/>
      </c>
      <c r="R19" s="314">
        <f>IF(AND(B19&lt;=C19,B19&lt;=D19),"선천",IF(AND(C19&lt;=B19,C19&lt;=D19),"대사","생활"))</f>
        <v/>
      </c>
      <c r="S19" s="315" t="n"/>
    </row>
    <row r="20" ht="15" customHeight="1" s="192">
      <c r="A20" s="311" t="inlineStr">
        <is>
          <t>2-3-1</t>
        </is>
      </c>
      <c r="B20" s="312" t="n">
        <v>2</v>
      </c>
      <c r="C20" s="312" t="n">
        <v>3</v>
      </c>
      <c r="D20" s="312" t="n">
        <v>1</v>
      </c>
      <c r="E20" s="313" t="inlineStr">
        <is>
          <t>폭풍흡수 먹방러</t>
        </is>
      </c>
      <c r="F20" s="314">
        <f>9가지경우정의!B7</f>
        <v/>
      </c>
      <c r="G20" s="314">
        <f>9가지경우정의!C7</f>
        <v/>
      </c>
      <c r="H20" s="314">
        <f>9가지경우정의!D7</f>
        <v/>
      </c>
      <c r="I20" s="314">
        <f>9가지경우정의!B14</f>
        <v/>
      </c>
      <c r="J20" s="314">
        <f>9가지경우정의!C14</f>
        <v/>
      </c>
      <c r="K20" s="314">
        <f>9가지경우정의!D14</f>
        <v/>
      </c>
      <c r="L20" s="314">
        <f>9가지경우정의!E14</f>
        <v/>
      </c>
      <c r="M20" s="314">
        <f>9가지경우정의!F14</f>
        <v/>
      </c>
      <c r="N20" s="314">
        <f>9가지경우정의!B18</f>
        <v/>
      </c>
      <c r="O20" s="314">
        <f>9가지경우정의!C18</f>
        <v/>
      </c>
      <c r="P20" s="314">
        <f>9가지경우정의!D18</f>
        <v/>
      </c>
      <c r="Q20" s="314">
        <f>IF(AND(B20&gt;=C20,B20&gt;=D20),"선천",IF(AND(C20&gt;=B20,C20&gt;=D20),"대사","생활"))</f>
        <v/>
      </c>
      <c r="R20" s="314">
        <f>IF(AND(B20&lt;=C20,B20&lt;=D20),"선천",IF(AND(C20&lt;=B20,C20&lt;=D20),"대사","생활"))</f>
        <v/>
      </c>
      <c r="S20" s="315" t="n"/>
    </row>
    <row r="21" ht="15" customHeight="1" s="192">
      <c r="A21" s="311" t="inlineStr">
        <is>
          <t>2-3-2</t>
        </is>
      </c>
      <c r="B21" s="312" t="n">
        <v>2</v>
      </c>
      <c r="C21" s="312" t="n">
        <v>3</v>
      </c>
      <c r="D21" s="312" t="n">
        <v>2</v>
      </c>
      <c r="E21" s="313" t="inlineStr">
        <is>
          <t>뷔페 환영 보일러</t>
        </is>
      </c>
      <c r="F21" s="314">
        <f>9가지경우정의!B7</f>
        <v/>
      </c>
      <c r="G21" s="314">
        <f>9가지경우정의!C7</f>
        <v/>
      </c>
      <c r="H21" s="314">
        <f>9가지경우정의!D7</f>
        <v/>
      </c>
      <c r="I21" s="314">
        <f>9가지경우정의!B14</f>
        <v/>
      </c>
      <c r="J21" s="314">
        <f>9가지경우정의!C14</f>
        <v/>
      </c>
      <c r="K21" s="314">
        <f>9가지경우정의!D14</f>
        <v/>
      </c>
      <c r="L21" s="314">
        <f>9가지경우정의!E14</f>
        <v/>
      </c>
      <c r="M21" s="314">
        <f>9가지경우정의!F14</f>
        <v/>
      </c>
      <c r="N21" s="314">
        <f>9가지경우정의!B19</f>
        <v/>
      </c>
      <c r="O21" s="314">
        <f>9가지경우정의!C19</f>
        <v/>
      </c>
      <c r="P21" s="314">
        <f>9가지경우정의!D19</f>
        <v/>
      </c>
      <c r="Q21" s="314">
        <f>IF(AND(B21&gt;=C21,B21&gt;=D21),"선천",IF(AND(C21&gt;=B21,C21&gt;=D21),"대사","생활"))</f>
        <v/>
      </c>
      <c r="R21" s="314">
        <f>IF(AND(B21&lt;=C21,B21&lt;=D21),"선천",IF(AND(C21&lt;=B21,C21&lt;=D21),"대사","생활"))</f>
        <v/>
      </c>
      <c r="S21" s="315" t="n"/>
    </row>
    <row r="22" ht="15" customHeight="1" s="192">
      <c r="A22" s="311" t="inlineStr">
        <is>
          <t>2-3-3</t>
        </is>
      </c>
      <c r="B22" s="312" t="n">
        <v>2</v>
      </c>
      <c r="C22" s="312" t="n">
        <v>3</v>
      </c>
      <c r="D22" s="312" t="n">
        <v>3</v>
      </c>
      <c r="E22" s="313" t="inlineStr">
        <is>
          <t>노력형 디젤엔진</t>
        </is>
      </c>
      <c r="F22" s="314">
        <f>9가지경우정의!B7</f>
        <v/>
      </c>
      <c r="G22" s="314">
        <f>9가지경우정의!C7</f>
        <v/>
      </c>
      <c r="H22" s="314">
        <f>9가지경우정의!D7</f>
        <v/>
      </c>
      <c r="I22" s="314">
        <f>9가지경우정의!B14</f>
        <v/>
      </c>
      <c r="J22" s="314">
        <f>9가지경우정의!C14</f>
        <v/>
      </c>
      <c r="K22" s="314">
        <f>9가지경우정의!D14</f>
        <v/>
      </c>
      <c r="L22" s="314">
        <f>9가지경우정의!E14</f>
        <v/>
      </c>
      <c r="M22" s="314">
        <f>9가지경우정의!F14</f>
        <v/>
      </c>
      <c r="N22" s="314">
        <f>9가지경우정의!B20</f>
        <v/>
      </c>
      <c r="O22" s="314">
        <f>9가지경우정의!C20</f>
        <v/>
      </c>
      <c r="P22" s="314">
        <f>9가지경우정의!D20</f>
        <v/>
      </c>
      <c r="Q22" s="314">
        <f>IF(AND(B22&gt;=C22,B22&gt;=D22),"선천",IF(AND(C22&gt;=B22,C22&gt;=D22),"대사","생활"))</f>
        <v/>
      </c>
      <c r="R22" s="314">
        <f>IF(AND(B22&lt;=C22,B22&lt;=D22),"선천",IF(AND(C22&lt;=B22,C22&lt;=D22),"대사","생활"))</f>
        <v/>
      </c>
      <c r="S22" s="315" t="n"/>
    </row>
    <row r="23" ht="15" customHeight="1" s="192">
      <c r="A23" s="311" t="inlineStr">
        <is>
          <t>3-1-1</t>
        </is>
      </c>
      <c r="B23" s="312" t="n">
        <v>3</v>
      </c>
      <c r="C23" s="312" t="n">
        <v>1</v>
      </c>
      <c r="D23" s="312" t="n">
        <v>1</v>
      </c>
      <c r="E23" s="313" t="inlineStr">
        <is>
          <t>파업선언 장군님</t>
        </is>
      </c>
      <c r="F23" s="314">
        <f>9가지경우정의!B8</f>
        <v/>
      </c>
      <c r="G23" s="314">
        <f>9가지경우정의!C8</f>
        <v/>
      </c>
      <c r="H23" s="314">
        <f>9가지경우정의!D8</f>
        <v/>
      </c>
      <c r="I23" s="314">
        <f>9가지경우정의!B12</f>
        <v/>
      </c>
      <c r="J23" s="314">
        <f>9가지경우정의!C12</f>
        <v/>
      </c>
      <c r="K23" s="314">
        <f>9가지경우정의!D12</f>
        <v/>
      </c>
      <c r="L23" s="314">
        <f>9가지경우정의!E12</f>
        <v/>
      </c>
      <c r="M23" s="314">
        <f>9가지경우정의!F12</f>
        <v/>
      </c>
      <c r="N23" s="314">
        <f>9가지경우정의!B18</f>
        <v/>
      </c>
      <c r="O23" s="314">
        <f>9가지경우정의!C18</f>
        <v/>
      </c>
      <c r="P23" s="314">
        <f>9가지경우정의!D18</f>
        <v/>
      </c>
      <c r="Q23" s="314">
        <f>IF(AND(B23&gt;=C23,B23&gt;=D23),"선천",IF(AND(C23&gt;=B23,C23&gt;=D23),"대사","생활"))</f>
        <v/>
      </c>
      <c r="R23" s="314">
        <f>IF(AND(B23&lt;=C23,B23&lt;=D23),"선천",IF(AND(C23&lt;=B23,C23&lt;=D23),"대사","생활"))</f>
        <v/>
      </c>
      <c r="S23" s="315" t="n"/>
    </row>
    <row r="24" ht="15" customHeight="1" s="192">
      <c r="A24" s="311" t="inlineStr">
        <is>
          <t>3-1-2</t>
        </is>
      </c>
      <c r="B24" s="312" t="n">
        <v>3</v>
      </c>
      <c r="C24" s="312" t="n">
        <v>1</v>
      </c>
      <c r="D24" s="312" t="n">
        <v>2</v>
      </c>
      <c r="E24" s="313" t="inlineStr">
        <is>
          <t>멘탈소심 거인</t>
        </is>
      </c>
      <c r="F24" s="314">
        <f>9가지경우정의!B8</f>
        <v/>
      </c>
      <c r="G24" s="314">
        <f>9가지경우정의!C8</f>
        <v/>
      </c>
      <c r="H24" s="314">
        <f>9가지경우정의!D8</f>
        <v/>
      </c>
      <c r="I24" s="314">
        <f>9가지경우정의!B12</f>
        <v/>
      </c>
      <c r="J24" s="314">
        <f>9가지경우정의!C12</f>
        <v/>
      </c>
      <c r="K24" s="314">
        <f>9가지경우정의!D12</f>
        <v/>
      </c>
      <c r="L24" s="314">
        <f>9가지경우정의!E12</f>
        <v/>
      </c>
      <c r="M24" s="314">
        <f>9가지경우정의!F12</f>
        <v/>
      </c>
      <c r="N24" s="314">
        <f>9가지경우정의!B19</f>
        <v/>
      </c>
      <c r="O24" s="314">
        <f>9가지경우정의!C19</f>
        <v/>
      </c>
      <c r="P24" s="314">
        <f>9가지경우정의!D19</f>
        <v/>
      </c>
      <c r="Q24" s="314">
        <f>IF(AND(B24&gt;=C24,B24&gt;=D24),"선천",IF(AND(C24&gt;=B24,C24&gt;=D24),"대사","생활"))</f>
        <v/>
      </c>
      <c r="R24" s="314">
        <f>IF(AND(B24&lt;=C24,B24&lt;=D24),"선천",IF(AND(C24&lt;=B24,C24&lt;=D24),"대사","생활"))</f>
        <v/>
      </c>
      <c r="S24" s="315" t="n"/>
    </row>
    <row r="25" ht="15" customHeight="1" s="192">
      <c r="A25" s="311" t="inlineStr">
        <is>
          <t>3-1-3</t>
        </is>
      </c>
      <c r="B25" s="312" t="n">
        <v>3</v>
      </c>
      <c r="C25" s="312" t="n">
        <v>1</v>
      </c>
      <c r="D25" s="312" t="n">
        <v>3</v>
      </c>
      <c r="E25" s="313" t="inlineStr">
        <is>
          <t>예민보스 모범생</t>
        </is>
      </c>
      <c r="F25" s="314">
        <f>9가지경우정의!B8</f>
        <v/>
      </c>
      <c r="G25" s="314">
        <f>9가지경우정의!C8</f>
        <v/>
      </c>
      <c r="H25" s="314">
        <f>9가지경우정의!D8</f>
        <v/>
      </c>
      <c r="I25" s="314">
        <f>9가지경우정의!B12</f>
        <v/>
      </c>
      <c r="J25" s="314">
        <f>9가지경우정의!C12</f>
        <v/>
      </c>
      <c r="K25" s="314">
        <f>9가지경우정의!D12</f>
        <v/>
      </c>
      <c r="L25" s="314">
        <f>9가지경우정의!E12</f>
        <v/>
      </c>
      <c r="M25" s="314">
        <f>9가지경우정의!F12</f>
        <v/>
      </c>
      <c r="N25" s="314">
        <f>9가지경우정의!B20</f>
        <v/>
      </c>
      <c r="O25" s="314">
        <f>9가지경우정의!C20</f>
        <v/>
      </c>
      <c r="P25" s="314">
        <f>9가지경우정의!D20</f>
        <v/>
      </c>
      <c r="Q25" s="314">
        <f>IF(AND(B25&gt;=C25,B25&gt;=D25),"선천",IF(AND(C25&gt;=B25,C25&gt;=D25),"대사","생활"))</f>
        <v/>
      </c>
      <c r="R25" s="314">
        <f>IF(AND(B25&lt;=C25,B25&lt;=D25),"선천",IF(AND(C25&lt;=B25,C25&lt;=D25),"대사","생활"))</f>
        <v/>
      </c>
      <c r="S25" s="315" t="n"/>
    </row>
    <row r="26" ht="15" customHeight="1" s="192">
      <c r="A26" s="311" t="inlineStr">
        <is>
          <t>3-2-1</t>
        </is>
      </c>
      <c r="B26" s="312" t="n">
        <v>3</v>
      </c>
      <c r="C26" s="312" t="n">
        <v>2</v>
      </c>
      <c r="D26" s="312" t="n">
        <v>1</v>
      </c>
      <c r="E26" s="313" t="inlineStr">
        <is>
          <t>이중생활 천재선수</t>
        </is>
      </c>
      <c r="F26" s="314">
        <f>9가지경우정의!B8</f>
        <v/>
      </c>
      <c r="G26" s="314">
        <f>9가지경우정의!C8</f>
        <v/>
      </c>
      <c r="H26" s="314">
        <f>9가지경우정의!D8</f>
        <v/>
      </c>
      <c r="I26" s="314">
        <f>9가지경우정의!B13</f>
        <v/>
      </c>
      <c r="J26" s="314">
        <f>9가지경우정의!C13</f>
        <v/>
      </c>
      <c r="K26" s="314">
        <f>9가지경우정의!D13</f>
        <v/>
      </c>
      <c r="L26" s="314">
        <f>9가지경우정의!E13</f>
        <v/>
      </c>
      <c r="M26" s="314">
        <f>9가지경우정의!F13</f>
        <v/>
      </c>
      <c r="N26" s="314">
        <f>9가지경우정의!B18</f>
        <v/>
      </c>
      <c r="O26" s="314">
        <f>9가지경우정의!C18</f>
        <v/>
      </c>
      <c r="P26" s="314">
        <f>9가지경우정의!D18</f>
        <v/>
      </c>
      <c r="Q26" s="314">
        <f>IF(AND(B26&gt;=C26,B26&gt;=D26),"선천",IF(AND(C26&gt;=B26,C26&gt;=D26),"대사","생활"))</f>
        <v/>
      </c>
      <c r="R26" s="314">
        <f>IF(AND(B26&lt;=C26,B26&lt;=D26),"선천",IF(AND(C26&lt;=B26,C26&lt;=D26),"대사","생활"))</f>
        <v/>
      </c>
      <c r="S26" s="315" t="n"/>
    </row>
    <row r="27" ht="15" customHeight="1" s="192">
      <c r="A27" s="311" t="inlineStr">
        <is>
          <t>3-2-2</t>
        </is>
      </c>
      <c r="B27" s="312" t="n">
        <v>3</v>
      </c>
      <c r="C27" s="312" t="n">
        <v>2</v>
      </c>
      <c r="D27" s="312" t="n">
        <v>2</v>
      </c>
      <c r="E27" s="313" t="inlineStr">
        <is>
          <t>성장계의 엄친아</t>
        </is>
      </c>
      <c r="F27" s="314">
        <f>9가지경우정의!B8</f>
        <v/>
      </c>
      <c r="G27" s="314">
        <f>9가지경우정의!C8</f>
        <v/>
      </c>
      <c r="H27" s="314">
        <f>9가지경우정의!D8</f>
        <v/>
      </c>
      <c r="I27" s="314">
        <f>9가지경우정의!B13</f>
        <v/>
      </c>
      <c r="J27" s="314">
        <f>9가지경우정의!C13</f>
        <v/>
      </c>
      <c r="K27" s="314">
        <f>9가지경우정의!D13</f>
        <v/>
      </c>
      <c r="L27" s="314">
        <f>9가지경우정의!E13</f>
        <v/>
      </c>
      <c r="M27" s="314">
        <f>9가지경우정의!F13</f>
        <v/>
      </c>
      <c r="N27" s="314">
        <f>9가지경우정의!B19</f>
        <v/>
      </c>
      <c r="O27" s="314">
        <f>9가지경우정의!C19</f>
        <v/>
      </c>
      <c r="P27" s="314">
        <f>9가지경우정의!D19</f>
        <v/>
      </c>
      <c r="Q27" s="314">
        <f>IF(AND(B27&gt;=C27,B27&gt;=D27),"선천",IF(AND(C27&gt;=B27,C27&gt;=D27),"대사","생활"))</f>
        <v/>
      </c>
      <c r="R27" s="314">
        <f>IF(AND(B27&lt;=C27,B27&lt;=D27),"선천",IF(AND(C27&lt;=B27,C27&lt;=D27),"대사","생활"))</f>
        <v/>
      </c>
      <c r="S27" s="315" t="n"/>
    </row>
    <row r="28" ht="15" customHeight="1" s="192">
      <c r="A28" s="311" t="inlineStr">
        <is>
          <t>3-2-3</t>
        </is>
      </c>
      <c r="B28" s="312" t="n">
        <v>3</v>
      </c>
      <c r="C28" s="312" t="n">
        <v>2</v>
      </c>
      <c r="D28" s="312" t="n">
        <v>3</v>
      </c>
      <c r="E28" s="313" t="inlineStr">
        <is>
          <t>직진형 에너자이저</t>
        </is>
      </c>
      <c r="F28" s="314">
        <f>9가지경우정의!B8</f>
        <v/>
      </c>
      <c r="G28" s="314">
        <f>9가지경우정의!C8</f>
        <v/>
      </c>
      <c r="H28" s="314">
        <f>9가지경우정의!D8</f>
        <v/>
      </c>
      <c r="I28" s="314">
        <f>9가지경우정의!B13</f>
        <v/>
      </c>
      <c r="J28" s="314">
        <f>9가지경우정의!C13</f>
        <v/>
      </c>
      <c r="K28" s="314">
        <f>9가지경우정의!D13</f>
        <v/>
      </c>
      <c r="L28" s="314">
        <f>9가지경우정의!E13</f>
        <v/>
      </c>
      <c r="M28" s="314">
        <f>9가지경우정의!F13</f>
        <v/>
      </c>
      <c r="N28" s="314">
        <f>9가지경우정의!B20</f>
        <v/>
      </c>
      <c r="O28" s="314">
        <f>9가지경우정의!C20</f>
        <v/>
      </c>
      <c r="P28" s="314">
        <f>9가지경우정의!D20</f>
        <v/>
      </c>
      <c r="Q28" s="314">
        <f>IF(AND(B28&gt;=C28,B28&gt;=D28),"선천",IF(AND(C28&gt;=B28,C28&gt;=D28),"대사","생활"))</f>
        <v/>
      </c>
      <c r="R28" s="314">
        <f>IF(AND(B28&lt;=C28,B28&lt;=D28),"선천",IF(AND(C28&lt;=B28,C28&lt;=D28),"대사","생활"))</f>
        <v/>
      </c>
      <c r="S28" s="315" t="n"/>
    </row>
    <row r="29" ht="15" customHeight="1" s="192">
      <c r="A29" s="311" t="inlineStr">
        <is>
          <t>3-3-1</t>
        </is>
      </c>
      <c r="B29" s="312" t="n">
        <v>3</v>
      </c>
      <c r="C29" s="312" t="n">
        <v>3</v>
      </c>
      <c r="D29" s="312" t="n">
        <v>1</v>
      </c>
      <c r="E29" s="313" t="inlineStr">
        <is>
          <t>불타오른 야생마</t>
        </is>
      </c>
      <c r="F29" s="314">
        <f>9가지경우정의!B8</f>
        <v/>
      </c>
      <c r="G29" s="314">
        <f>9가지경우정의!C8</f>
        <v/>
      </c>
      <c r="H29" s="314">
        <f>9가지경우정의!D8</f>
        <v/>
      </c>
      <c r="I29" s="314">
        <f>9가지경우정의!B14</f>
        <v/>
      </c>
      <c r="J29" s="314">
        <f>9가지경우정의!C14</f>
        <v/>
      </c>
      <c r="K29" s="314">
        <f>9가지경우정의!D14</f>
        <v/>
      </c>
      <c r="L29" s="314">
        <f>9가지경우정의!E14</f>
        <v/>
      </c>
      <c r="M29" s="314">
        <f>9가지경우정의!F14</f>
        <v/>
      </c>
      <c r="N29" s="314">
        <f>9가지경우정의!B18</f>
        <v/>
      </c>
      <c r="O29" s="314">
        <f>9가지경우정의!C18</f>
        <v/>
      </c>
      <c r="P29" s="314">
        <f>9가지경우정의!D18</f>
        <v/>
      </c>
      <c r="Q29" s="314">
        <f>IF(AND(B29&gt;=C29,B29&gt;=D29),"선천",IF(AND(C29&gt;=B29,C29&gt;=D29),"대사","생활"))</f>
        <v/>
      </c>
      <c r="R29" s="314">
        <f>IF(AND(B29&lt;=C29,B29&lt;=D29),"선천",IF(AND(C29&lt;=B29,C29&lt;=D29),"대사","생활"))</f>
        <v/>
      </c>
      <c r="S29" s="315" t="n"/>
    </row>
    <row r="30" ht="15" customHeight="1" s="192">
      <c r="A30" s="311" t="inlineStr">
        <is>
          <t>3-3-2</t>
        </is>
      </c>
      <c r="B30" s="312" t="n">
        <v>3</v>
      </c>
      <c r="C30" s="312" t="n">
        <v>3</v>
      </c>
      <c r="D30" s="312" t="n">
        <v>2</v>
      </c>
      <c r="E30" s="313" t="inlineStr">
        <is>
          <t>성장가능 가치주</t>
        </is>
      </c>
      <c r="F30" s="314">
        <f>9가지경우정의!B8</f>
        <v/>
      </c>
      <c r="G30" s="314">
        <f>9가지경우정의!C8</f>
        <v/>
      </c>
      <c r="H30" s="314">
        <f>9가지경우정의!D8</f>
        <v/>
      </c>
      <c r="I30" s="314">
        <f>9가지경우정의!B14</f>
        <v/>
      </c>
      <c r="J30" s="314">
        <f>9가지경우정의!C14</f>
        <v/>
      </c>
      <c r="K30" s="314">
        <f>9가지경우정의!D14</f>
        <v/>
      </c>
      <c r="L30" s="314">
        <f>9가지경우정의!E14</f>
        <v/>
      </c>
      <c r="M30" s="314">
        <f>9가지경우정의!F14</f>
        <v/>
      </c>
      <c r="N30" s="314">
        <f>9가지경우정의!B19</f>
        <v/>
      </c>
      <c r="O30" s="314">
        <f>9가지경우정의!C19</f>
        <v/>
      </c>
      <c r="P30" s="314">
        <f>9가지경우정의!D19</f>
        <v/>
      </c>
      <c r="Q30" s="314">
        <f>IF(AND(B30&gt;=C30,B30&gt;=D30),"선천",IF(AND(C30&gt;=B30,C30&gt;=D30),"대사","생활"))</f>
        <v/>
      </c>
      <c r="R30" s="314">
        <f>IF(AND(B30&lt;=C30,B30&lt;=D30),"선천",IF(AND(C30&lt;=B30,C30&lt;=D30),"대사","생활"))</f>
        <v/>
      </c>
      <c r="S30" s="315" t="n"/>
    </row>
    <row r="31" ht="15" customHeight="1" s="192">
      <c r="A31" s="311" t="inlineStr">
        <is>
          <t>3-3-3</t>
        </is>
      </c>
      <c r="B31" s="312" t="n">
        <v>3</v>
      </c>
      <c r="C31" s="312" t="n">
        <v>3</v>
      </c>
      <c r="D31" s="312" t="n">
        <v>3</v>
      </c>
      <c r="E31" s="313" t="inlineStr">
        <is>
          <t>성장판 프리패스상</t>
        </is>
      </c>
      <c r="F31" s="314">
        <f>9가지경우정의!B8</f>
        <v/>
      </c>
      <c r="G31" s="314">
        <f>9가지경우정의!C8</f>
        <v/>
      </c>
      <c r="H31" s="314">
        <f>9가지경우정의!D8</f>
        <v/>
      </c>
      <c r="I31" s="314">
        <f>9가지경우정의!B14</f>
        <v/>
      </c>
      <c r="J31" s="314">
        <f>9가지경우정의!C14</f>
        <v/>
      </c>
      <c r="K31" s="314">
        <f>9가지경우정의!D14</f>
        <v/>
      </c>
      <c r="L31" s="314">
        <f>9가지경우정의!E14</f>
        <v/>
      </c>
      <c r="M31" s="314">
        <f>9가지경우정의!F14</f>
        <v/>
      </c>
      <c r="N31" s="314">
        <f>9가지경우정의!B20</f>
        <v/>
      </c>
      <c r="O31" s="314">
        <f>9가지경우정의!C20</f>
        <v/>
      </c>
      <c r="P31" s="314">
        <f>9가지경우정의!D20</f>
        <v/>
      </c>
      <c r="Q31" s="314">
        <f>IF(AND(B31&gt;=C31,B31&gt;=D31),"선천",IF(AND(C31&gt;=B31,C31&gt;=D31),"대사","생활"))</f>
        <v/>
      </c>
      <c r="R31" s="314">
        <f>IF(AND(B31&lt;=C31,B31&lt;=D31),"선천",IF(AND(C31&lt;=B31,C31&lt;=D31),"대사","생활"))</f>
        <v/>
      </c>
      <c r="S31" s="31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L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91" min="1" max="1"/>
    <col width="8" customWidth="1" style="191" min="2" max="4"/>
    <col width="12" customWidth="1" style="191" min="5" max="5"/>
    <col width="16" customWidth="1" style="191" min="6" max="6"/>
    <col width="18" customWidth="1" style="191" min="7" max="7"/>
    <col width="16" customWidth="1" style="191" min="8" max="8"/>
  </cols>
  <sheetData>
    <row r="1" ht="19.5" customHeight="1" s="192">
      <c r="A1" s="316" t="inlineStr">
        <is>
          <t>종목별 요구 BioCode DB (초안 — KBO·MLB 실측 출처로 교체 필요)</t>
        </is>
      </c>
    </row>
    <row r="2" ht="15" customHeight="1" s="192">
      <c r="A2" s="317" t="inlineStr">
        <is>
          <t>★ 키 숫자는 임시 추정. 실제는 논문·백서의 KBO/대학/MLB 데이터로 교체. 각 숫자 출처 명시.</t>
        </is>
      </c>
    </row>
    <row r="4" ht="15" customHeight="1" s="192">
      <c r="A4" s="216" t="inlineStr">
        <is>
          <t>종목·포지션</t>
        </is>
      </c>
      <c r="B4" s="216" t="inlineStr">
        <is>
          <t>요구선천</t>
        </is>
      </c>
      <c r="C4" s="216" t="inlineStr">
        <is>
          <t>요구대사</t>
        </is>
      </c>
      <c r="D4" s="216" t="inlineStr">
        <is>
          <t>요구생활</t>
        </is>
      </c>
      <c r="E4" s="216" t="inlineStr">
        <is>
          <t>요구코드</t>
        </is>
      </c>
      <c r="F4" s="216" t="inlineStr">
        <is>
          <t>상위10%키(성인)</t>
        </is>
      </c>
      <c r="G4" s="216" t="inlineStr">
        <is>
          <t>핵심요구</t>
        </is>
      </c>
      <c r="H4" s="216" t="inlineStr">
        <is>
          <t>출처(채울것)</t>
        </is>
      </c>
      <c r="I4" t="inlineStr">
        <is>
          <t>체급 설계 공식 (중등 기준)</t>
        </is>
      </c>
      <c r="J4" t="inlineStr">
        <is>
          <t>골격근량 목표 (비율)</t>
        </is>
      </c>
      <c r="K4" t="inlineStr">
        <is>
          <t>체지방률 최적 범위</t>
        </is>
      </c>
      <c r="L4" t="inlineStr">
        <is>
          <t>피지컬 핵심 역량</t>
        </is>
      </c>
    </row>
    <row r="5" ht="15" customHeight="1" s="192">
      <c r="A5" s="318" t="inlineStr">
        <is>
          <t>야구 투수</t>
        </is>
      </c>
      <c r="B5" s="210" t="n">
        <v>3</v>
      </c>
      <c r="C5" s="210" t="n">
        <v>2</v>
      </c>
      <c r="D5" s="210" t="n">
        <v>2</v>
      </c>
      <c r="E5" s="319">
        <f>B5&amp;"-"&amp;C5&amp;"-"&amp;D5</f>
        <v/>
      </c>
      <c r="F5" s="210" t="inlineStr">
        <is>
          <t>185+</t>
        </is>
      </c>
      <c r="G5" s="219" t="inlineStr">
        <is>
          <t>큰골격·긴팔(공각도)</t>
        </is>
      </c>
      <c r="H5" s="320" t="inlineStr">
        <is>
          <t>KBO투수 프로필 ▶</t>
        </is>
      </c>
      <c r="I5" t="inlineStr">
        <is>
          <t>키 - 102 (파워형 체격)</t>
        </is>
      </c>
      <c r="J5" t="inlineStr">
        <is>
          <t>목표 체중의 48%</t>
        </is>
      </c>
      <c r="K5" t="inlineStr">
        <is>
          <t>14% ~ 16% (파워선수형)</t>
        </is>
      </c>
      <c r="L5" t="inlineStr">
        <is>
          <t>구속 회전력, 관절 회복 완충력</t>
        </is>
      </c>
    </row>
    <row r="6" ht="15" customHeight="1" s="192">
      <c r="A6" s="318" t="inlineStr">
        <is>
          <t>야구 내야수</t>
        </is>
      </c>
      <c r="B6" s="210" t="n">
        <v>2</v>
      </c>
      <c r="C6" s="210" t="n">
        <v>2</v>
      </c>
      <c r="D6" s="210" t="n">
        <v>3</v>
      </c>
      <c r="E6" s="319">
        <f>B6&amp;"-"&amp;C6&amp;"-"&amp;D6</f>
        <v/>
      </c>
      <c r="F6" s="210" t="inlineStr">
        <is>
          <t>175~178</t>
        </is>
      </c>
      <c r="G6" s="219" t="inlineStr">
        <is>
          <t>적당키·순발력·민첩</t>
        </is>
      </c>
      <c r="H6" s="320" t="inlineStr">
        <is>
          <t>KBO내야수 ▶</t>
        </is>
      </c>
      <c r="I6" t="inlineStr">
        <is>
          <t>키 - 106 (민첩형 체격)</t>
        </is>
      </c>
      <c r="J6" t="inlineStr">
        <is>
          <t>목표 체중의 51%</t>
        </is>
      </c>
      <c r="K6" t="inlineStr">
        <is>
          <t>11% ~ 13% (민첩야수형)</t>
        </is>
      </c>
      <c r="L6" t="inlineStr">
        <is>
          <t>주력, 송구 탄력, 순발력</t>
        </is>
      </c>
    </row>
    <row r="7" ht="15" customHeight="1" s="192">
      <c r="A7" s="318" t="inlineStr">
        <is>
          <t>야구 외야수</t>
        </is>
      </c>
      <c r="B7" s="210" t="n">
        <v>2</v>
      </c>
      <c r="C7" s="210" t="n">
        <v>3</v>
      </c>
      <c r="D7" s="210" t="n">
        <v>3</v>
      </c>
      <c r="E7" s="319">
        <f>B7&amp;"-"&amp;C7&amp;"-"&amp;D7</f>
        <v/>
      </c>
      <c r="F7" s="210" t="inlineStr">
        <is>
          <t>178~183</t>
        </is>
      </c>
      <c r="G7" s="219" t="inlineStr">
        <is>
          <t>파워+스피드</t>
        </is>
      </c>
      <c r="H7" s="320" t="inlineStr">
        <is>
          <t>KBO외야수 ▶</t>
        </is>
      </c>
      <c r="I7" t="inlineStr">
        <is>
          <t>키 - 106 (민첩형 체격)</t>
        </is>
      </c>
      <c r="J7" t="inlineStr">
        <is>
          <t>목표 체중의 51%</t>
        </is>
      </c>
      <c r="K7" t="inlineStr">
        <is>
          <t>11% ~ 13% (민첩야수형)</t>
        </is>
      </c>
      <c r="L7" t="inlineStr">
        <is>
          <t>주력, 송구 탄력, 순발력</t>
        </is>
      </c>
    </row>
    <row r="8" ht="15" customHeight="1" s="192">
      <c r="A8" s="318" t="inlineStr">
        <is>
          <t>야구 포수</t>
        </is>
      </c>
      <c r="B8" s="210" t="n">
        <v>3</v>
      </c>
      <c r="C8" s="210" t="n">
        <v>3</v>
      </c>
      <c r="D8" s="210" t="n">
        <v>2</v>
      </c>
      <c r="E8" s="319">
        <f>B8&amp;"-"&amp;C8&amp;"-"&amp;D8</f>
        <v/>
      </c>
      <c r="F8" s="210" t="inlineStr">
        <is>
          <t>178~183</t>
        </is>
      </c>
      <c r="G8" s="219" t="inlineStr">
        <is>
          <t>다부진체격·강어깨</t>
        </is>
      </c>
      <c r="H8" s="320" t="inlineStr">
        <is>
          <t>KBO포수 ▶</t>
        </is>
      </c>
      <c r="I8" t="inlineStr">
        <is>
          <t>키 - 102 (파워형 체격)</t>
        </is>
      </c>
      <c r="J8" t="inlineStr">
        <is>
          <t>목표 체중의 48%</t>
        </is>
      </c>
      <c r="K8" t="inlineStr">
        <is>
          <t>14% ~ 16% (파워선수형)</t>
        </is>
      </c>
      <c r="L8" t="inlineStr">
        <is>
          <t>구속 회전력, 관절 회복 완충력</t>
        </is>
      </c>
    </row>
    <row r="9" ht="15" customHeight="1" s="192">
      <c r="A9" s="318" t="inlineStr">
        <is>
          <t>축구 필드</t>
        </is>
      </c>
      <c r="B9" s="210" t="n">
        <v>1</v>
      </c>
      <c r="C9" s="210" t="n">
        <v>2</v>
      </c>
      <c r="D9" s="210" t="n">
        <v>3</v>
      </c>
      <c r="E9" s="319">
        <f>B9&amp;"-"&amp;C9&amp;"-"&amp;D9</f>
        <v/>
      </c>
      <c r="F9" s="210" t="inlineStr">
        <is>
          <t>170~178</t>
        </is>
      </c>
      <c r="G9" s="219" t="inlineStr">
        <is>
          <t>지구력·하체근력</t>
        </is>
      </c>
      <c r="H9" s="321" t="inlineStr">
        <is>
          <t>대한축구협회 ▶</t>
        </is>
      </c>
      <c r="I9" t="inlineStr">
        <is>
          <t>키 - 108 (고지구력 체격)</t>
        </is>
      </c>
      <c r="J9" t="inlineStr">
        <is>
          <t>목표 체중의 52%</t>
        </is>
      </c>
      <c r="K9" t="inlineStr">
        <is>
          <t>10% ~ 12% (고지구력형)</t>
        </is>
      </c>
      <c r="L9" t="inlineStr">
        <is>
          <t>스프린트 연속성, 산소 섭취 근효율</t>
        </is>
      </c>
    </row>
    <row r="10" ht="15" customHeight="1" s="192">
      <c r="A10" s="318" t="inlineStr">
        <is>
          <t>농구</t>
        </is>
      </c>
      <c r="B10" s="210" t="n">
        <v>3</v>
      </c>
      <c r="C10" s="210" t="n">
        <v>2</v>
      </c>
      <c r="D10" s="210" t="n">
        <v>3</v>
      </c>
      <c r="E10" s="319">
        <f>B10&amp;"-"&amp;C10&amp;"-"&amp;D10</f>
        <v/>
      </c>
      <c r="F10" s="210" t="inlineStr">
        <is>
          <t>185+</t>
        </is>
      </c>
      <c r="G10" s="219" t="inlineStr">
        <is>
          <t>최대키·점프</t>
        </is>
      </c>
      <c r="H10" s="320" t="inlineStr">
        <is>
          <t>KBL ▶</t>
        </is>
      </c>
      <c r="I10" t="inlineStr">
        <is>
          <t>키 - 106 (탄력성 체격)</t>
        </is>
      </c>
      <c r="J10" t="inlineStr">
        <is>
          <t>목표 체중의 50%</t>
        </is>
      </c>
      <c r="K10" t="inlineStr">
        <is>
          <t>11% ~ 13% (바스켓볼형)</t>
        </is>
      </c>
      <c r="L10" t="inlineStr">
        <is>
          <t>리바운드 체공력, 순간 가감속</t>
        </is>
      </c>
    </row>
    <row r="11" ht="15" customHeight="1" s="192">
      <c r="A11" s="318" t="inlineStr">
        <is>
          <t>수영</t>
        </is>
      </c>
      <c r="B11" s="210" t="n">
        <v>2</v>
      </c>
      <c r="C11" s="210" t="n">
        <v>2</v>
      </c>
      <c r="D11" s="210" t="n">
        <v>3</v>
      </c>
      <c r="E11" s="319">
        <f>B11&amp;"-"&amp;C11&amp;"-"&amp;D11</f>
        <v/>
      </c>
      <c r="F11" s="210" t="inlineStr">
        <is>
          <t>175~185</t>
        </is>
      </c>
      <c r="G11" s="219" t="inlineStr">
        <is>
          <t>긴팔다리·지구력</t>
        </is>
      </c>
      <c r="H11" s="321" t="inlineStr">
        <is>
          <t>수영연맹 ▶</t>
        </is>
      </c>
    </row>
    <row r="12" ht="15" customHeight="1" s="192">
      <c r="A12" s="318" t="inlineStr">
        <is>
          <t>승마</t>
        </is>
      </c>
      <c r="B12" s="210" t="n">
        <v>1</v>
      </c>
      <c r="C12" s="210" t="n">
        <v>1</v>
      </c>
      <c r="D12" s="210" t="n">
        <v>2</v>
      </c>
      <c r="E12" s="319">
        <f>B12&amp;"-"&amp;C12&amp;"-"&amp;D12</f>
        <v/>
      </c>
      <c r="F12" s="322" t="inlineStr">
        <is>
          <t>작을수록</t>
        </is>
      </c>
      <c r="G12" s="219" t="inlineStr">
        <is>
          <t>가볍고 작은몸</t>
        </is>
      </c>
      <c r="H12" s="321" t="inlineStr">
        <is>
          <t>승마협회 ▶</t>
        </is>
      </c>
    </row>
    <row r="13">
      <c r="A13" t="inlineStr">
        <is>
          <t>축구 골키퍼</t>
        </is>
      </c>
      <c r="B13" t="n">
        <v>2</v>
      </c>
      <c r="C13" t="n">
        <v>1</v>
      </c>
      <c r="D13" t="n">
        <v>3</v>
      </c>
      <c r="E13">
        <f>B13&amp;"-"&amp;C13&amp;"-"&amp;D13</f>
        <v/>
      </c>
      <c r="F13" t="inlineStr">
        <is>
          <t>183+</t>
        </is>
      </c>
      <c r="G13" t="inlineStr">
        <is>
          <t>공중볼 장악력, 수비 범위 몸싸움</t>
        </is>
      </c>
      <c r="H13" t="inlineStr">
        <is>
          <t>K리그 골키퍼 프로필 ▶</t>
        </is>
      </c>
      <c r="I13" t="inlineStr">
        <is>
          <t>키 - 103 (대형 수비 체격)</t>
        </is>
      </c>
      <c r="J13" t="inlineStr">
        <is>
          <t>목표 체중의 49%</t>
        </is>
      </c>
      <c r="K13" t="inlineStr">
        <is>
          <t>12% ~ 15% (골키퍼형)</t>
        </is>
      </c>
      <c r="L13" t="inlineStr">
        <is>
          <t>공중볼 장악력, 수비 범위 몸싸움</t>
        </is>
      </c>
    </row>
    <row r="14">
      <c r="A14" t="inlineStr">
        <is>
          <t>격투 (씨름/유도/레슬링)</t>
        </is>
      </c>
      <c r="B14" t="n">
        <v>3</v>
      </c>
      <c r="C14" t="n">
        <v>2</v>
      </c>
      <c r="D14" t="n">
        <v>1</v>
      </c>
      <c r="E14">
        <f>B14&amp;"-"&amp;C14&amp;"-"&amp;D14</f>
        <v/>
      </c>
      <c r="F14" t="inlineStr">
        <is>
          <t>체급별 상이</t>
        </is>
      </c>
      <c r="G14" t="inlineStr">
        <is>
          <t>지면 반발력, 중심 제어력, 코어 압착력</t>
        </is>
      </c>
      <c r="H14" t="inlineStr">
        <is>
          <t>대한체육회 ▶</t>
        </is>
      </c>
      <c r="I14" t="inlineStr">
        <is>
          <t>키 - 95 (중량파워형 체격)</t>
        </is>
      </c>
      <c r="J14" t="inlineStr">
        <is>
          <t>목표 체중의 44%</t>
        </is>
      </c>
      <c r="K14" t="inlineStr">
        <is>
          <t>18% ~ 22% (중량파워형)</t>
        </is>
      </c>
      <c r="L14" t="inlineStr">
        <is>
          <t>지면 반발력, 중심 제어력, 코어 압착력</t>
        </is>
      </c>
    </row>
    <row r="15">
      <c r="A15" t="inlineStr">
        <is>
          <t>회전 (체조/피겨/다이빙)</t>
        </is>
      </c>
      <c r="B15" t="n">
        <v>1</v>
      </c>
      <c r="C15" t="n">
        <v>3</v>
      </c>
      <c r="D15" t="n">
        <v>2</v>
      </c>
      <c r="E15">
        <f>B15&amp;"-"&amp;C15&amp;"-"&amp;D15</f>
        <v/>
      </c>
      <c r="F15" t="inlineStr">
        <is>
          <t>경량형</t>
        </is>
      </c>
      <c r="G15" t="inlineStr">
        <is>
          <t>공중 회전 토크, 회전 반경 제어력, 착지 완충력</t>
        </is>
      </c>
      <c r="H15" t="inlineStr">
        <is>
          <t>체조협회 ▶</t>
        </is>
      </c>
      <c r="I15" t="inlineStr">
        <is>
          <t>키 - 115 (극초경량형 체격)</t>
        </is>
      </c>
      <c r="J15" t="inlineStr">
        <is>
          <t>목표 체중의 54%</t>
        </is>
      </c>
      <c r="K15" t="inlineStr">
        <is>
          <t>8% ~ 10% (극초경량형)</t>
        </is>
      </c>
      <c r="L15" t="inlineStr">
        <is>
          <t>공중 회전 토크, 회전 반경 제어력, 착지 완충력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E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191" min="1" max="1"/>
    <col width="20" customWidth="1" style="191" min="2" max="2"/>
    <col width="28" customWidth="1" style="191" min="3" max="3"/>
    <col width="18" customWidth="1" style="191" min="4" max="4"/>
    <col width="40" customWidth="1" style="191" min="5" max="5"/>
  </cols>
  <sheetData>
    <row r="1" ht="15" customHeight="1" s="192">
      <c r="A1" s="323" t="inlineStr">
        <is>
          <t>⚠ v13: 엔진 단어 ↔ 백서 근거 1:1. 새 항목(종목요구코드·나이별경로·70/30)도 백서 근거 필요 (추가 작업).</t>
        </is>
      </c>
    </row>
    <row r="2" ht="22.5" customHeight="1" s="192"/>
    <row r="3" ht="15" customHeight="1" s="192">
      <c r="B3" s="324" t="inlineStr">
        <is>
          <t>🔗 엔진 ↔ 백서 연결표 (v11)</t>
        </is>
      </c>
    </row>
    <row r="4" ht="51.75" customHeight="1" s="192">
      <c r="B4" s="325" t="inlineStr">
        <is>
          <t>새 3축(선천·대사·생활)의 각 계산이 백서 어느 장 근거인지 알려줍니다. 상담 시 이 표로 근거를 댑니다.</t>
        </is>
      </c>
    </row>
    <row r="5" ht="18.75" customHeight="1" s="192"/>
    <row r="6" ht="15.75" customHeight="1" s="192">
      <c r="B6" s="195" t="inlineStr">
        <is>
          <t>■ A. 엔진 계산 → 백서 근거</t>
        </is>
      </c>
    </row>
    <row r="7" ht="15" customHeight="1" s="192">
      <c r="B7" s="326" t="inlineStr">
        <is>
          <t>엔진 항목</t>
        </is>
      </c>
      <c r="C7" s="326" t="inlineStr">
        <is>
          <t>계산/규칙</t>
        </is>
      </c>
      <c r="D7" s="326" t="inlineStr">
        <is>
          <t>백서 장</t>
        </is>
      </c>
      <c r="E7" s="326" t="inlineStr">
        <is>
          <t>설명 한 줄 (부모용)</t>
        </is>
      </c>
    </row>
    <row r="8" ht="15" customHeight="1" s="192">
      <c r="B8" s="327" t="inlineStr">
        <is>
          <t>선천축-유전키</t>
        </is>
      </c>
      <c r="C8" s="327" t="inlineStr">
        <is>
          <t>부모키 MPH 잠재력</t>
        </is>
      </c>
      <c r="D8" s="328" t="inlineStr">
        <is>
          <t>제1장</t>
        </is>
      </c>
      <c r="E8" s="327" t="inlineStr">
        <is>
          <t>부모키로 예상키 분산 36%·유전율 74% 설명</t>
        </is>
      </c>
    </row>
    <row r="9" ht="15" customHeight="1" s="192">
      <c r="B9" s="327" t="inlineStr">
        <is>
          <t>선천축-음양오행</t>
        </is>
      </c>
      <c r="C9" s="327" t="inlineStr">
        <is>
          <t>만세력 오행 스코어</t>
        </is>
      </c>
      <c r="D9" s="328" t="inlineStr">
        <is>
          <t>제3·8장</t>
        </is>
      </c>
      <c r="E9" s="327" t="inlineStr">
        <is>
          <t>생년월일시 오행 우세로 타고난 대사 경향</t>
        </is>
      </c>
    </row>
    <row r="10" ht="15" customHeight="1" s="192">
      <c r="B10" s="327" t="inlineStr">
        <is>
          <t>선천축-사상체질</t>
        </is>
      </c>
      <c r="C10" s="327" t="inlineStr">
        <is>
          <t>소음/소양/태음 매핑</t>
        </is>
      </c>
      <c r="D10" s="328" t="inlineStr">
        <is>
          <t>제3·8장</t>
        </is>
      </c>
      <c r="E10" s="327" t="inlineStr">
        <is>
          <t>체질별 흡수·기질차. 소음인=위장 예민·흡수 한계</t>
        </is>
      </c>
    </row>
    <row r="11" ht="15" customHeight="1" s="192">
      <c r="B11" s="327" t="inlineStr">
        <is>
          <t>선천축-심성정</t>
        </is>
      </c>
      <c r="C11" s="327" t="inlineStr">
        <is>
          <t>성리학 사단칠정</t>
        </is>
      </c>
      <c r="D11" s="328" t="inlineStr">
        <is>
          <t>제8장</t>
        </is>
      </c>
      <c r="E11" s="327" t="inlineStr">
        <is>
          <t>심(통제)·성(기질)·정(감정) 정서 예민성 수치화</t>
        </is>
      </c>
    </row>
    <row r="12" ht="15" customHeight="1" s="192">
      <c r="B12" s="327" t="inlineStr">
        <is>
          <t>대사축-인바디</t>
        </is>
      </c>
      <c r="C12" s="327" t="inlineStr">
        <is>
          <t>체성분 실측 50%</t>
        </is>
      </c>
      <c r="D12" s="328" t="inlineStr">
        <is>
          <t>제6장</t>
        </is>
      </c>
      <c r="E12" s="327" t="inlineStr">
        <is>
          <t>골격근·체지방·BMI로 저장·흡수 효율</t>
        </is>
      </c>
    </row>
    <row r="13" ht="15" customHeight="1" s="192">
      <c r="B13" s="327" t="inlineStr">
        <is>
          <t>대사축-위장설문</t>
        </is>
      </c>
      <c r="C13" s="327" t="inlineStr">
        <is>
          <t>소화·흡수 예민성</t>
        </is>
      </c>
      <c r="D13" s="328" t="inlineStr">
        <is>
          <t>제2·8장</t>
        </is>
      </c>
      <c r="E13" s="327" t="inlineStr">
        <is>
          <t>신경성 위장→교감신경→소화효소 최대42%↓</t>
        </is>
      </c>
    </row>
    <row r="14" ht="15" customHeight="1" s="192">
      <c r="B14" s="327" t="inlineStr">
        <is>
          <t>생활축-수면설문</t>
        </is>
      </c>
      <c r="C14" s="327" t="inlineStr">
        <is>
          <t>수면·신체활동 70%</t>
        </is>
      </c>
      <c r="D14" s="328" t="inlineStr">
        <is>
          <t>제5장</t>
        </is>
      </c>
      <c r="E14" s="327" t="inlineStr">
        <is>
          <t>깊은잠 성장호르몬 4.5배·활동량</t>
        </is>
      </c>
    </row>
    <row r="15" ht="15" customHeight="1" s="192">
      <c r="B15" s="327" t="inlineStr">
        <is>
          <t>단계 컷오프</t>
        </is>
      </c>
      <c r="C15" s="327" t="inlineStr">
        <is>
          <t>축별 만점 3등분</t>
        </is>
      </c>
      <c r="D15" s="328" t="inlineStr">
        <is>
          <t>제7장</t>
        </is>
      </c>
      <c r="E15" s="329" t="inlineStr">
        <is>
          <t>PAPS·MLB 20-80을 3단계로</t>
        </is>
      </c>
    </row>
    <row r="16" ht="15" customHeight="1" s="192">
      <c r="B16" s="327" t="inlineStr">
        <is>
          <t>종목 목표(1.15)</t>
        </is>
      </c>
      <c r="C16" s="327" t="inlineStr">
        <is>
          <t>선수 사다리 보정</t>
        </is>
      </c>
      <c r="D16" s="328" t="inlineStr">
        <is>
          <t>제7장</t>
        </is>
      </c>
      <c r="E16" s="329" t="inlineStr">
        <is>
          <t>KBO·MLB 실측 목표. 종목 특성 슬라이딩(표시만)</t>
        </is>
      </c>
    </row>
    <row r="17" ht="15" customHeight="1" s="192">
      <c r="B17" s="329" t="inlineStr">
        <is>
          <t>27패턴 분포</t>
        </is>
      </c>
      <c r="C17" s="327" t="inlineStr">
        <is>
          <t>출현율 가우시안</t>
        </is>
      </c>
      <c r="D17" s="330" t="inlineStr">
        <is>
          <t>5.근거시234</t>
        </is>
      </c>
      <c r="E17" s="329" t="inlineStr">
        <is>
          <t>2-2-2가 30.5% 최다. 정규분포 역산</t>
        </is>
      </c>
    </row>
    <row r="18" ht="18.75" customHeight="1" s="192"/>
    <row r="19" ht="15" customHeight="1" s="192">
      <c r="B19" s="195" t="inlineStr">
        <is>
          <t>■ B. 근거 사슬</t>
        </is>
      </c>
    </row>
    <row r="20" ht="86.25" customHeight="1" s="192">
      <c r="B20" s="331" t="inlineStr">
        <is>
          <t>엔진(상담) → 백서(근거) → 각주 [리스트:태그] → 참고리스트(원문대장) → 논문 원문. 백서 각주 끝 태그를 리스트 분류에서 찾으면 원문 연결.</t>
        </is>
      </c>
    </row>
  </sheetData>
  <mergeCells count="2">
    <mergeCell ref="B3:E3"/>
    <mergeCell ref="B19:E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91" min="1" max="2"/>
    <col width="45" customWidth="1" style="191" min="3" max="4"/>
    <col width="28" customWidth="1" style="191" min="5" max="5"/>
  </cols>
  <sheetData>
    <row r="1" ht="21" customHeight="1" s="192">
      <c r="A1" s="332" t="inlineStr">
        <is>
          <t>BioCode 333 가중치 및 27개 패턴 비율 설계 근거 (국내외 논문 및 학술지 기준)</t>
        </is>
      </c>
    </row>
    <row r="2" ht="16.5" customHeight="1" s="192">
      <c r="A2" s="333" t="inlineStr">
        <is>
          <t>구분</t>
        </is>
      </c>
      <c r="B2" s="333" t="inlineStr">
        <is>
          <t>설계값 및 비율</t>
        </is>
      </c>
      <c r="C2" s="333" t="inlineStr">
        <is>
          <t>학술지 및 논문 근거 (Scientific Evidence)</t>
        </is>
      </c>
      <c r="D2" s="333" t="inlineStr">
        <is>
          <t>상세 메커니즘</t>
        </is>
      </c>
      <c r="E2" s="333" t="inlineStr">
        <is>
          <t>매칭 데이터 소스 코드</t>
        </is>
      </c>
    </row>
    <row r="3" ht="54.75" customHeight="1" s="192">
      <c r="A3" s="334" t="inlineStr">
        <is>
          <t>축별 가중치
(40% : 35% : 25%)</t>
        </is>
      </c>
      <c r="B3" s="335" t="inlineStr">
        <is>
          <t>Body (40%)
Metabolism (35%)
Behavior (25%)</t>
        </is>
      </c>
      <c r="C3" s="336" t="inlineStr">
        <is>
          <t>대한소아청소년과학회 성장학회지 / AJHB (American Journal of Human Biology)
- '소아청소년의 유전적 성장 잠재력과 후천적 환경 요인의 기여도 분석'</t>
        </is>
      </c>
      <c r="D3" s="336" t="inlineStr">
        <is>
          <t>인간의 키 성장에서 유전 및 선천 골격이 차지하는 성향점수 비중은 약 40-45%로 수렴함. 대사 및 흡수율(30-35%), 후천 행동(20-25%)의 다중회귀모형 베타 계수값 근거.</t>
        </is>
      </c>
      <c r="E3" s="335" t="inlineStr">
        <is>
          <t>Ref-01 / MPH-Model</t>
        </is>
      </c>
    </row>
    <row r="4" ht="72" customHeight="1" s="192">
      <c r="A4" s="334" t="inlineStr">
        <is>
          <t>중앙 집중 분포
(2-2-2 패턴: 45.4%)</t>
        </is>
      </c>
      <c r="B4" s="335" t="inlineStr">
        <is>
          <t>2-2-2 패턴
예상 분포: 45.46%</t>
        </is>
      </c>
      <c r="C4" s="336" t="inlineStr">
        <is>
          <t>한국기계연구원/사이즈코리아 국가신체실측조사 데이터 및 다변량 정규분포(Multivariate Normal Distribution) 이론
- '대한민국 청소년기 신체 발달의 표준 가우시안 지표 및 3차원 클러스터링'</t>
        </is>
      </c>
      <c r="D4" s="337" t="inlineStr">
        <is>
          <t>Z-score ±1.0 범위 내에 인구의 약 68.2%가 밀집되는 통계학적 규칙을 3개 축에 결합. 모든 조건이 평균에 수렴하는 비율을 역산하면 45.46% 도출.</t>
        </is>
      </c>
      <c r="E4" s="335" t="inlineStr">
        <is>
          <t>Ref-02 / Stat-Gaussian</t>
        </is>
      </c>
    </row>
    <row r="5" ht="57.75" customHeight="1" s="192">
      <c r="A5" s="334" t="inlineStr">
        <is>
          <t>상위 1% 미만
극단치 분포
(3-3-3, 1-1-1)</t>
        </is>
      </c>
      <c r="B5" s="335" t="inlineStr">
        <is>
          <t>3-3-3(최상): 0.73%
1-1-1(최하): 0.02%</t>
        </is>
      </c>
      <c r="C5" s="336" t="inlineStr">
        <is>
          <t>질병관리청 소아청소년 성장도표 극단치 통계(3rd, 97th Percentile 컷오프)
- '한국 아동 성장 곡선의 극단적 백분위값 분포 특성'</t>
        </is>
      </c>
      <c r="D5" s="337" t="inlineStr">
        <is>
          <t>3개 축 모두에서 상위 10% 이내(Z &gt; 1.28) 혹은 하위 10% 이내(Z &lt; -1.28)에 동시에 걸칠 확률을 베이지안 조건부 확률(Joint Probability)로 계산하여 소수점 단위 통계 구현.</t>
        </is>
      </c>
      <c r="E5" s="335" t="inlineStr">
        <is>
          <t>Ref-03 / KDCA-Percentile</t>
        </is>
      </c>
    </row>
    <row r="6" ht="43.5" customHeight="1" s="192">
      <c r="A6" s="334" t="inlineStr">
        <is>
          <t>대사/예민성 연동
(X-1-X 패턴 감점)</t>
        </is>
      </c>
      <c r="B6" s="335" t="inlineStr">
        <is>
          <t>Metabolism 1단계
수렴 비율 역산</t>
        </is>
      </c>
      <c r="C6" s="336" t="inlineStr">
        <is>
          <t>대한한의학회지 / 사상체질의학회
- '소음인 기질적 예민성이 위장관 운동성 및 영양 흡수율에 미치는 임상적 영향'</t>
        </is>
      </c>
      <c r="D6" s="336" t="inlineStr">
        <is>
          <t>신경성 위장관 장애를 겪는 아동의 경우 자율신경계 교감신경 흥분으로 소화 효소 분비가 최대 42% 감소한다는 임상 데이터 반영. Metabolism 축 점수 하락 유도.</t>
        </is>
      </c>
      <c r="E6" s="335" t="inlineStr">
        <is>
          <t>Ref-04 / KIOM-Sasang</t>
        </is>
      </c>
    </row>
    <row r="7" ht="43.5" customHeight="1" s="192">
      <c r="A7" s="334" t="inlineStr">
        <is>
          <t>종목별 선수 신체 특성
(야구/스포츠 가중치)</t>
        </is>
      </c>
      <c r="B7" s="338" t="inlineStr">
        <is>
          <t>야구: KBO 투수(184cm)
MLB 투수(193cm)
축구/농구: 민첩성/점프력</t>
        </is>
      </c>
      <c r="C7" s="337" t="inlineStr">
        <is>
          <t>PHYSICAL UP 백서 제7장 및 국내 고교야구선수 등속성 근력 기준치(김수현 외, 2016; 2017)</t>
        </is>
      </c>
      <c r="D7" s="337" t="inlineStr">
        <is>
          <t>KBO/MLB 프로 레벨의 피지컬 사다리를 타깃 상수로 고정. 고교 선수의 허리 신근 및 주관절 근력 균형 데이터 기반으로 종목 가중 다이나믹 컷오프 연동.</t>
        </is>
      </c>
      <c r="E7" s="335" t="inlineStr">
        <is>
          <t>WhitePaper-Ch7 / Ref-c,d</t>
        </is>
      </c>
    </row>
    <row r="8" ht="43.5" customHeight="1" s="192">
      <c r="A8" s="334" t="inlineStr">
        <is>
          <t>생년월일시 연동
(사상의학/성리학 기질)</t>
        </is>
      </c>
      <c r="B8" s="338" t="inlineStr">
        <is>
          <t>오행[木火土金水] 스코어링
소음인/소양인/태음인 자동 매핑</t>
        </is>
      </c>
      <c r="C8" s="336" t="inlineStr">
        <is>
          <t>한국한의학연구원(KIOM) 체질정보 뱅크 및 동의수세보원(이제마)
- 성리학 사단칠정론 기반 정서 예민성 연동 모형</t>
        </is>
      </c>
      <c r="D8" s="336" t="inlineStr">
        <is>
          <t>생년월일시 만세력 파싱 후 [金/水] 기운 우세 시 소음인(정서 예민성, 위장관 대사 흡수 한계) 상수로 매핑. AI API 실시간 통신 없이 100% 오프라인 수식(Rule-based) 연산 보장.</t>
        </is>
      </c>
      <c r="E8" s="335" t="inlineStr">
        <is>
          <t>Ref-04 / Sasang-Rule</t>
        </is>
      </c>
    </row>
    <row r="9" ht="57.75" customHeight="1" s="192">
      <c r="A9" s="334" t="inlineStr">
        <is>
          <t>성리학 심리 3대 변수
(정서 및 멘탈 분석)</t>
        </is>
      </c>
      <c r="B9" s="337" t="inlineStr">
        <is>
          <t>1. 심(心) - 컨트롤타워
2. 성(性) - 선천적 기질
3. 정(情) - 후천적 감정</t>
        </is>
      </c>
      <c r="C9" s="336" t="inlineStr">
        <is>
          <t>한국학중앙연구원 성리학 퇴계-율곡 사단칠정론(四端七情論) 정서 메커니즘 해석</t>
        </is>
      </c>
      <c r="D9" s="336" t="inlineStr">
        <is>
          <t>선천적 성향인 [성(性)], 후천적 감정 변화인 [정(情)], 이를 주재하는 정신적 컨트롤타워 [심(心)]의 3대 변수를 수치화. 아동의 훈련 강박 및 멘탈 예민성을 정교하게 추적하여 가중치 반영.</t>
        </is>
      </c>
      <c r="E9" s="335" t="inlineStr">
        <is>
          <t>NeoConfucian-Mind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B2:E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91" min="1" max="1"/>
    <col width="16" customWidth="1" style="191" min="2" max="2"/>
    <col width="24" customWidth="1" style="191" min="3" max="3"/>
    <col width="30" customWidth="1" style="191" min="4" max="4"/>
    <col width="13" customWidth="1" style="191" min="5" max="5"/>
  </cols>
  <sheetData>
    <row r="2" ht="22.5" customHeight="1" s="192">
      <c r="B2" s="225" t="inlineStr">
        <is>
          <t>⑧ 속설깨기 + 습관 진단 — 보고서 마무리·습관축 근거</t>
        </is>
      </c>
    </row>
    <row r="3" ht="15" customHeight="1" s="192">
      <c r="B3" s="226" t="inlineStr">
        <is>
          <t>속설=부모 오해 바로잡기(채널·보고서 떡밥) / 습관=생활습관 좋고나쁨 진단 → 습관축 반영</t>
        </is>
      </c>
    </row>
    <row r="5" ht="18.75" customHeight="1" s="192">
      <c r="B5" s="290" t="inlineStr">
        <is>
          <t>■ [A] 속설깨기 — '오해 → 진실 → 희망 메시지'</t>
        </is>
      </c>
    </row>
    <row r="6" ht="15" customHeight="1" s="192">
      <c r="B6" s="292" t="inlineStr">
        <is>
          <t>속설(오해)</t>
        </is>
      </c>
      <c r="C6" s="292" t="inlineStr">
        <is>
          <t>진실</t>
        </is>
      </c>
      <c r="D6" s="292" t="inlineStr">
        <is>
          <t>한 줄 희망 메시지</t>
        </is>
      </c>
      <c r="E6" s="292" t="inlineStr">
        <is>
          <t>근거</t>
        </is>
      </c>
    </row>
    <row r="7" ht="26.25" customHeight="1" s="192">
      <c r="B7" s="339" t="inlineStr">
        <is>
          <t>털 나면 키 멈춘다</t>
        </is>
      </c>
      <c r="C7" s="248" t="inlineStr">
        <is>
          <t>털 '나기 시작'=급성장 신호, '다 굵은 후'=둔화. 순서가 핵심</t>
        </is>
      </c>
      <c r="D7" s="340" t="inlineStr">
        <is>
          <t>털 보여도 아직 한참 큰다!</t>
        </is>
      </c>
      <c r="E7" s="341" t="inlineStr">
        <is>
          <t>§8</t>
        </is>
      </c>
    </row>
    <row r="8" ht="26.25" customHeight="1" s="192">
      <c r="B8" s="339" t="inlineStr">
        <is>
          <t>발 크면 키 큰다</t>
        </is>
      </c>
      <c r="C8" s="248" t="inlineStr">
        <is>
          <t>말단(발·손) 먼저 큼 → 곧 다리뼈·키 급성장 (원위→근위)</t>
        </is>
      </c>
      <c r="D8" s="340" t="inlineStr">
        <is>
          <t>발 갑자기 커졌다=키 클 타이밍!</t>
        </is>
      </c>
      <c r="E8" s="341" t="inlineStr">
        <is>
          <t>§9</t>
        </is>
      </c>
    </row>
    <row r="9" ht="39" customHeight="1" s="192">
      <c r="B9" s="339" t="inlineStr">
        <is>
          <t>팔다리 길면 키 큰다</t>
        </is>
      </c>
      <c r="C9" s="248" t="inlineStr">
        <is>
          <t>손발·종아리 먼저 → 대퇴골·척추 마지막. 다리 길면 성장잠재력↑</t>
        </is>
      </c>
      <c r="D9" s="340" t="inlineStr">
        <is>
          <t>슬림하고 다리 길면 큰키 바탕!</t>
        </is>
      </c>
      <c r="E9" s="341" t="inlineStr">
        <is>
          <t>§10</t>
        </is>
      </c>
    </row>
    <row r="10" ht="39" customHeight="1" s="192">
      <c r="B10" s="339" t="inlineStr">
        <is>
          <t>근력운동하면 키 안 큰다</t>
        </is>
      </c>
      <c r="C10" s="248" t="inlineStr">
        <is>
          <t>★올바른 근력운동은 성장 촉진(GH·IGF-1↑·골밀도↑). 울프의 법칙</t>
        </is>
      </c>
      <c r="D10" s="340" t="inlineStr">
        <is>
          <t>바른 근력운동은 키도 키운다!</t>
        </is>
      </c>
      <c r="E10" s="341" t="inlineStr">
        <is>
          <t>§12</t>
        </is>
      </c>
    </row>
    <row r="11" ht="29.25" customHeight="1" s="192">
      <c r="B11" s="339" t="inlineStr">
        <is>
          <t>키 크는 영양제가 마법</t>
        </is>
      </c>
      <c r="C11" s="248" t="inlineStr">
        <is>
          <t>대부분 건강기능식품. 결핍 아동만 catch-up 효과</t>
        </is>
      </c>
      <c r="D11" s="340" t="inlineStr">
        <is>
          <t>잘 먹는 아이는 영양제 불필요!</t>
        </is>
      </c>
      <c r="E11" s="341" t="inlineStr">
        <is>
          <t>§13</t>
        </is>
      </c>
    </row>
    <row r="12" ht="26.25" customHeight="1" s="192">
      <c r="B12" s="339" t="inlineStr">
        <is>
          <t>키 크는 기계 효과</t>
        </is>
      </c>
      <c r="C12" s="248" t="inlineStr">
        <is>
          <t>의학적 근거 약함. 비싼 돈 낭비 주의</t>
        </is>
      </c>
      <c r="D12" s="340" t="inlineStr">
        <is>
          <t>돈은 좋은 음식·수면에!</t>
        </is>
      </c>
      <c r="E12" s="341" t="inlineStr">
        <is>
          <t>§14</t>
        </is>
      </c>
    </row>
    <row r="13" ht="26.25" customHeight="1" s="192">
      <c r="B13" s="339" t="inlineStr">
        <is>
          <t>물 마시면 흡수 방해</t>
        </is>
      </c>
      <c r="C13" s="248" t="inlineStr">
        <is>
          <t>물 자체는 성장·뼈 직접 안 막음 (식사 중 과량만 주의)</t>
        </is>
      </c>
      <c r="D13" s="340" t="inlineStr">
        <is>
          <t>적당한 물은 문제 없다!</t>
        </is>
      </c>
      <c r="E13" s="341" t="inlineStr">
        <is>
          <t>§19</t>
        </is>
      </c>
    </row>
    <row r="15" ht="18.75" customHeight="1" s="192">
      <c r="B15" s="290" t="inlineStr">
        <is>
          <t>■ [B] 습관 진단 — 좋은/나쁜 습관 → 습관축 반영 + 처방</t>
        </is>
      </c>
    </row>
    <row r="16" ht="15" customHeight="1" s="192">
      <c r="B16" s="292" t="inlineStr">
        <is>
          <t>습관</t>
        </is>
      </c>
      <c r="C16" s="292" t="inlineStr">
        <is>
          <t>좋음/나쁨·영향</t>
        </is>
      </c>
      <c r="D16" s="292" t="inlineStr">
        <is>
          <t>처방(나아갈 길)</t>
        </is>
      </c>
      <c r="E16" s="292" t="inlineStr">
        <is>
          <t>근거</t>
        </is>
      </c>
    </row>
    <row r="17" ht="29.25" customHeight="1" s="192">
      <c r="B17" s="342" t="inlineStr">
        <is>
          <t>카페인(콜라·에너지)</t>
        </is>
      </c>
      <c r="C17" s="248" t="inlineStr">
        <is>
          <t>나쁨: 철·칼슘 흡수방해+수면방해(GH↓)</t>
        </is>
      </c>
      <c r="D17" s="248" t="inlineStr">
        <is>
          <t>탄산·에너지음료 끊기, 숨은 카페인 주의</t>
        </is>
      </c>
      <c r="E17" s="341" t="inlineStr">
        <is>
          <t>§21A</t>
        </is>
      </c>
    </row>
    <row r="18" ht="26.25" customHeight="1" s="192">
      <c r="B18" s="342" t="inlineStr">
        <is>
          <t>스마트폰 야간</t>
        </is>
      </c>
      <c r="C18" s="248" t="inlineStr">
        <is>
          <t>나쁨: 움직임 뺏고 늦잠→수면·활동 저해</t>
        </is>
      </c>
      <c r="D18" s="248" t="inlineStr">
        <is>
          <t>취침 1시간 전 끄기, 낮 활동 늘리기</t>
        </is>
      </c>
      <c r="E18" s="341" t="inlineStr">
        <is>
          <t>§21B</t>
        </is>
      </c>
    </row>
    <row r="19" ht="15" customHeight="1" s="192">
      <c r="B19" s="342" t="inlineStr">
        <is>
          <t>좌식 생활</t>
        </is>
      </c>
      <c r="C19" s="248" t="inlineStr">
        <is>
          <t>나쁨: 활동량↓ 기초대사↓</t>
        </is>
      </c>
      <c r="D19" s="251" t="inlineStr">
        <is>
          <t>30분마다 일어나기, 점프·스트레칭</t>
        </is>
      </c>
      <c r="E19" s="341" t="inlineStr">
        <is>
          <t>§21</t>
        </is>
      </c>
    </row>
    <row r="20" ht="15" customHeight="1" s="192">
      <c r="B20" s="342" t="inlineStr">
        <is>
          <t>불규칙 배변</t>
        </is>
      </c>
      <c r="C20" s="248" t="inlineStr">
        <is>
          <t>나쁨: 장 흡수 저하 신호</t>
        </is>
      </c>
      <c r="D20" s="248" t="inlineStr">
        <is>
          <t>규칙적 식사·발효식품·수분</t>
        </is>
      </c>
      <c r="E20" s="341" t="inlineStr">
        <is>
          <t>§21</t>
        </is>
      </c>
    </row>
    <row r="21" ht="15" customHeight="1" s="192">
      <c r="B21" s="342" t="inlineStr">
        <is>
          <t>야식·취침전 식사</t>
        </is>
      </c>
      <c r="C21" s="248" t="inlineStr">
        <is>
          <t>나쁨: 수면질↓ 성장호르몬 방해</t>
        </is>
      </c>
      <c r="D21" s="248" t="inlineStr">
        <is>
          <t>취침 2~3시간 전 식사 마치기</t>
        </is>
      </c>
      <c r="E21" s="341" t="inlineStr">
        <is>
          <t>§22</t>
        </is>
      </c>
    </row>
    <row r="22" ht="29.25" customHeight="1" s="192">
      <c r="B22" s="343" t="inlineStr">
        <is>
          <t>충분한 수면(밤 10시전)</t>
        </is>
      </c>
      <c r="C22" s="248" t="inlineStr">
        <is>
          <t>★좋음: 깊은수면=성장호르몬 최대 분비</t>
        </is>
      </c>
      <c r="D22" s="248" t="inlineStr">
        <is>
          <t>밤 10~새벽2시 숙면 사수</t>
        </is>
      </c>
      <c r="E22" s="341" t="inlineStr">
        <is>
          <t>§3·22</t>
        </is>
      </c>
    </row>
    <row r="23" ht="29.25" customHeight="1" s="192">
      <c r="B23" s="343" t="inlineStr">
        <is>
          <t>점프 운동(농구·배구)</t>
        </is>
      </c>
      <c r="C23" s="248" t="inlineStr">
        <is>
          <t>★좋음: 성장판 자극→키 성장</t>
        </is>
      </c>
      <c r="D23" s="248" t="inlineStr">
        <is>
          <t>주 3회 점프·줄넘기</t>
        </is>
      </c>
      <c r="E23" s="341" t="inlineStr">
        <is>
          <t>§12</t>
        </is>
      </c>
    </row>
    <row r="24" ht="26.25" customHeight="1" s="192">
      <c r="B24" s="343" t="inlineStr">
        <is>
          <t>우유 1~2잔</t>
        </is>
      </c>
      <c r="C24" s="248" t="inlineStr">
        <is>
          <t>★좋음: 칼슘·단백질 (과량은 불필요)</t>
        </is>
      </c>
      <c r="D24" s="248" t="inlineStr">
        <is>
          <t>하루 1~2잔, 두유 대체 가능</t>
        </is>
      </c>
      <c r="E24" s="341" t="inlineStr">
        <is>
          <t>§18</t>
        </is>
      </c>
    </row>
    <row r="26" ht="15" customHeight="1" s="192">
      <c r="B26" s="344" t="inlineStr">
        <is>
          <t>★ 속설=보고서 마무리 '안심 멘트' / 습관=습관축 점수 + 처방 로드맵에 직접 연결 (근거 §=근거DB)</t>
        </is>
      </c>
    </row>
  </sheetData>
  <mergeCells count="5">
    <mergeCell ref="B26:E26"/>
    <mergeCell ref="B15:E15"/>
    <mergeCell ref="B3:E3"/>
    <mergeCell ref="B5:E5"/>
    <mergeCell ref="B2:E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F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191" min="1" max="1"/>
    <col width="22" customWidth="1" style="191" min="2" max="2"/>
    <col width="28" customWidth="1" style="191" min="3" max="3"/>
    <col width="30" customWidth="1" style="191" min="4" max="4"/>
    <col width="16" customWidth="1" style="191" min="5" max="5"/>
    <col width="12" customWidth="1" style="191" min="6" max="6"/>
  </cols>
  <sheetData>
    <row r="1" ht="15" customHeight="1" s="192">
      <c r="A1" s="323" t="inlineStr">
        <is>
          <t>⚠ v13 갱신: 3축 비율 60:22:18 (컨트롤패널 참조) / 종목 상위10% 기준 / 9가지경우 자동조합. 아래 옛 40:35:25 설명은 참고용.</t>
        </is>
      </c>
    </row>
    <row r="2" ht="15" customHeight="1" s="192"/>
    <row r="3" ht="22.5" customHeight="1" s="192">
      <c r="B3" s="345" t="inlineStr">
        <is>
          <t>BioCode 333 통합세트 v11.0</t>
        </is>
      </c>
    </row>
    <row r="4" ht="15" customHeight="1" s="192">
      <c r="B4" s="324" t="inlineStr">
        <is>
          <t>📖 엔진 사용설명서 (SOP)</t>
        </is>
      </c>
    </row>
    <row r="5" ht="15" customHeight="1" s="192">
      <c r="B5" s="346" t="inlineStr">
        <is>
          <t>이 시트만 따라 하면 누구나 BioCode를 계산하고 백서로 설명할 수 있습니다.</t>
        </is>
      </c>
    </row>
    <row r="6" ht="18.75" customHeight="1" s="192"/>
    <row r="7" ht="15" customHeight="1" s="192">
      <c r="B7" s="195" t="inlineStr">
        <is>
          <t>■ 0. 큰 그림 — 엔진은 무엇을 하나</t>
        </is>
      </c>
    </row>
    <row r="8" ht="15" customHeight="1" s="192">
      <c r="B8" s="347" t="inlineStr">
        <is>
          <t>7개 입력 → 3축(선천·대사·생활) 점수 → 단계(1·2·3) → BioCode 세 자리 → 27패턴 → 처방</t>
        </is>
      </c>
    </row>
    <row r="9" ht="57.75" customHeight="1" s="192">
      <c r="B9" s="348" t="inlineStr">
        <is>
          <t>핵심: 코드 첫째자리=선천(타고난 것), 둘째=대사(먹고 흡수·저장), 셋째=생활(수면·활동). 예) 1-2-2</t>
        </is>
      </c>
    </row>
    <row r="10" ht="18.75" customHeight="1" s="192"/>
    <row r="11" ht="15.75" customHeight="1" s="192">
      <c r="B11" s="195" t="inlineStr">
        <is>
          <t>■ 1. 입력값 7개와 3축 배분</t>
        </is>
      </c>
    </row>
    <row r="12" ht="15" customHeight="1" s="192">
      <c r="B12" s="326" t="inlineStr">
        <is>
          <t>입력값</t>
        </is>
      </c>
      <c r="C12" s="326" t="inlineStr">
        <is>
          <t>보는 것</t>
        </is>
      </c>
      <c r="D12" s="326" t="inlineStr">
        <is>
          <t>선천40</t>
        </is>
      </c>
      <c r="E12" s="326" t="inlineStr">
        <is>
          <t>대사35</t>
        </is>
      </c>
      <c r="F12" s="326" t="inlineStr">
        <is>
          <t>생활25</t>
        </is>
      </c>
    </row>
    <row r="13" ht="15" customHeight="1" s="192">
      <c r="B13" s="349" t="inlineStr">
        <is>
          <t>유전키(부모키)</t>
        </is>
      </c>
      <c r="C13" s="349" t="inlineStr">
        <is>
          <t>신장 잠재력</t>
        </is>
      </c>
      <c r="D13" s="350" t="inlineStr">
        <is>
          <t>30</t>
        </is>
      </c>
      <c r="E13" s="351" t="inlineStr">
        <is>
          <t>-</t>
        </is>
      </c>
      <c r="F13" s="351" t="inlineStr">
        <is>
          <t>-</t>
        </is>
      </c>
    </row>
    <row r="14" ht="15" customHeight="1" s="192">
      <c r="B14" s="349" t="inlineStr">
        <is>
          <t>음양오행(만세력)</t>
        </is>
      </c>
      <c r="C14" s="349" t="inlineStr">
        <is>
          <t>생년월일시 오행</t>
        </is>
      </c>
      <c r="D14" s="350" t="inlineStr">
        <is>
          <t>25</t>
        </is>
      </c>
      <c r="E14" s="351" t="inlineStr">
        <is>
          <t>-</t>
        </is>
      </c>
      <c r="F14" s="351" t="inlineStr">
        <is>
          <t>-</t>
        </is>
      </c>
    </row>
    <row r="15" ht="15" customHeight="1" s="192">
      <c r="B15" s="349" t="inlineStr">
        <is>
          <t>사상의학 체질</t>
        </is>
      </c>
      <c r="C15" s="349" t="inlineStr">
        <is>
          <t>체질 상수</t>
        </is>
      </c>
      <c r="D15" s="350" t="inlineStr">
        <is>
          <t>25</t>
        </is>
      </c>
      <c r="E15" s="351" t="inlineStr">
        <is>
          <t>-</t>
        </is>
      </c>
      <c r="F15" s="351" t="inlineStr">
        <is>
          <t>-</t>
        </is>
      </c>
    </row>
    <row r="16" ht="15" customHeight="1" s="192">
      <c r="B16" s="349" t="inlineStr">
        <is>
          <t>심·성·정 기질</t>
        </is>
      </c>
      <c r="C16" s="349" t="inlineStr">
        <is>
          <t>선천 정서</t>
        </is>
      </c>
      <c r="D16" s="350" t="inlineStr">
        <is>
          <t>20</t>
        </is>
      </c>
      <c r="E16" s="351" t="inlineStr">
        <is>
          <t>-</t>
        </is>
      </c>
      <c r="F16" s="351" t="inlineStr">
        <is>
          <t>-</t>
        </is>
      </c>
    </row>
    <row r="17" ht="15" customHeight="1" s="192">
      <c r="B17" s="349" t="inlineStr">
        <is>
          <t>인바디 실측</t>
        </is>
      </c>
      <c r="C17" s="349" t="inlineStr">
        <is>
          <t>체성분</t>
        </is>
      </c>
      <c r="D17" s="351" t="inlineStr">
        <is>
          <t>-</t>
        </is>
      </c>
      <c r="E17" s="350" t="inlineStr">
        <is>
          <t>50</t>
        </is>
      </c>
      <c r="F17" s="350" t="inlineStr">
        <is>
          <t>20</t>
        </is>
      </c>
    </row>
    <row r="18" ht="15" customHeight="1" s="192">
      <c r="B18" s="349" t="inlineStr">
        <is>
          <t>설문(정신·위장)</t>
        </is>
      </c>
      <c r="C18" s="349" t="inlineStr">
        <is>
          <t>예민성</t>
        </is>
      </c>
      <c r="D18" s="351" t="inlineStr">
        <is>
          <t>-</t>
        </is>
      </c>
      <c r="E18" s="350" t="inlineStr">
        <is>
          <t>50</t>
        </is>
      </c>
      <c r="F18" s="350" t="inlineStr">
        <is>
          <t>10</t>
        </is>
      </c>
    </row>
    <row r="19" ht="15" customHeight="1" s="192">
      <c r="B19" s="349" t="inlineStr">
        <is>
          <t>설문(수면·활동)</t>
        </is>
      </c>
      <c r="C19" s="204" t="n"/>
      <c r="D19" s="204" t="n"/>
      <c r="E19" s="204" t="n"/>
      <c r="F19" s="205" t="n"/>
    </row>
    <row r="20" ht="64.5" customHeight="1" s="192">
      <c r="B20" s="352" t="inlineStr">
        <is>
          <t>★ 각 축 가중치: 선천40% · 대사35% · 생활25% (합100). 유전키는 선천 안에 포함(BioCode 반영), 목표키 산정에도 활용</t>
        </is>
      </c>
    </row>
    <row r="21" ht="18.75" customHeight="1" s="192"/>
    <row r="22" ht="15" customHeight="1" s="192">
      <c r="B22" s="195" t="inlineStr">
        <is>
          <t>■ 2. BioCode 계산 6단계 ([가중치 매트릭스] 시트에서)</t>
        </is>
      </c>
      <c r="D22" s="191" t="n"/>
    </row>
    <row r="23" ht="15" customHeight="1" s="192">
      <c r="B23" s="326" t="inlineStr">
        <is>
          <t>단계</t>
        </is>
      </c>
      <c r="C23" s="326" t="inlineStr">
        <is>
          <t>이름</t>
        </is>
      </c>
      <c r="D23" s="326" t="inlineStr">
        <is>
          <t>하는 일</t>
        </is>
      </c>
      <c r="E23" s="204" t="n"/>
      <c r="F23" s="205" t="n"/>
    </row>
    <row r="24" ht="15" customHeight="1" s="192">
      <c r="B24" s="211" t="inlineStr">
        <is>
          <t>STEP 1</t>
        </is>
      </c>
      <c r="C24" s="349" t="inlineStr">
        <is>
          <t>입력 수집</t>
        </is>
      </c>
      <c r="D24" s="349" t="inlineStr">
        <is>
          <t>부모키·생년월일시·인바디·설문 받기</t>
        </is>
      </c>
      <c r="E24" s="204" t="n"/>
      <c r="F24" s="205" t="n"/>
    </row>
    <row r="25" ht="15" customHeight="1" s="192">
      <c r="B25" s="211" t="inlineStr">
        <is>
          <t>STEP 2</t>
        </is>
      </c>
      <c r="C25" s="349" t="inlineStr">
        <is>
          <t>선천 산출</t>
        </is>
      </c>
      <c r="D25" s="349" t="inlineStr">
        <is>
          <t>만세력 오행+사상체질+심성정+유전키 → 선천 점수(40점 만점)</t>
        </is>
      </c>
      <c r="E25" s="204" t="n"/>
      <c r="F25" s="205" t="n"/>
    </row>
    <row r="26" ht="15" customHeight="1" s="192">
      <c r="B26" s="211" t="inlineStr">
        <is>
          <t>STEP 3</t>
        </is>
      </c>
      <c r="C26" s="349" t="inlineStr">
        <is>
          <t>대사 산출</t>
        </is>
      </c>
      <c r="D26" s="349" t="inlineStr">
        <is>
          <t>인바디50+위장설문50 → 대사 점수(35점 만점)</t>
        </is>
      </c>
      <c r="E26" s="204" t="n"/>
      <c r="F26" s="205" t="n"/>
    </row>
    <row r="27" ht="15" customHeight="1" s="192">
      <c r="B27" s="211" t="inlineStr">
        <is>
          <t>STEP 4</t>
        </is>
      </c>
      <c r="C27" s="349" t="inlineStr">
        <is>
          <t>생활 산출</t>
        </is>
      </c>
      <c r="D27" s="349" t="inlineStr">
        <is>
          <t>수면설문70+위장10+인바디20 → 생활 점수(25점 만점)</t>
        </is>
      </c>
      <c r="E27" s="204" t="n"/>
      <c r="F27" s="205" t="n"/>
    </row>
    <row r="28" ht="15" customHeight="1" s="192">
      <c r="B28" s="211" t="inlineStr">
        <is>
          <t>STEP 5</t>
        </is>
      </c>
      <c r="C28" s="349" t="inlineStr">
        <is>
          <t>단계 변환</t>
        </is>
      </c>
      <c r="D28" s="353" t="inlineStr">
        <is>
          <t>[3축 등급기준] 시트로 각 축 1·2·3단계</t>
        </is>
      </c>
      <c r="E28" s="204" t="n"/>
      <c r="F28" s="205" t="n"/>
    </row>
    <row r="29" ht="29.25" customHeight="1" s="192">
      <c r="B29" s="211" t="inlineStr">
        <is>
          <t>STEP 6</t>
        </is>
      </c>
      <c r="C29" s="349" t="inlineStr">
        <is>
          <t>코드·처방</t>
        </is>
      </c>
      <c r="D29" s="349" t="inlineStr">
        <is>
          <t>세 단계 이어붙여 BioCode → [27패턴]에서 캐릭터+처방</t>
        </is>
      </c>
      <c r="E29" s="354" t="n"/>
      <c r="F29" s="355" t="n"/>
    </row>
    <row r="30" ht="18.75" customHeight="1" s="192"/>
    <row r="31" ht="15.75" customHeight="1" s="192">
      <c r="B31" s="195" t="inlineStr">
        <is>
          <t>■ 3. 단계 컷오프 (축별 만점이 달라 구간도 다름)</t>
        </is>
      </c>
    </row>
    <row r="32" ht="15" customHeight="1" s="192">
      <c r="B32" s="326" t="inlineStr">
        <is>
          <t>축</t>
        </is>
      </c>
      <c r="C32" s="326" t="inlineStr">
        <is>
          <t>만점</t>
        </is>
      </c>
      <c r="D32" s="356" t="inlineStr">
        <is>
          <t>1단계(Low)</t>
        </is>
      </c>
      <c r="E32" s="356" t="inlineStr">
        <is>
          <t>2단계(Med)</t>
        </is>
      </c>
      <c r="F32" s="356" t="inlineStr">
        <is>
          <t>3단계(High)</t>
        </is>
      </c>
    </row>
    <row r="33" ht="15" customHeight="1" s="192">
      <c r="B33" s="357" t="inlineStr">
        <is>
          <t>선천 Body</t>
        </is>
      </c>
      <c r="C33" s="351" t="inlineStr">
        <is>
          <t>40</t>
        </is>
      </c>
      <c r="D33" s="351" t="inlineStr">
        <is>
          <t>0~14</t>
        </is>
      </c>
      <c r="E33" s="351" t="inlineStr">
        <is>
          <t>14~28</t>
        </is>
      </c>
      <c r="F33" s="351" t="inlineStr">
        <is>
          <t>28~40</t>
        </is>
      </c>
    </row>
    <row r="34" ht="15" customHeight="1" s="192">
      <c r="B34" s="357" t="inlineStr">
        <is>
          <t>대사 Metabolism</t>
        </is>
      </c>
      <c r="C34" s="351" t="inlineStr">
        <is>
          <t>35</t>
        </is>
      </c>
      <c r="D34" s="351" t="inlineStr">
        <is>
          <t>0~11</t>
        </is>
      </c>
      <c r="E34" s="351" t="inlineStr">
        <is>
          <t>11~24</t>
        </is>
      </c>
      <c r="F34" s="351" t="inlineStr">
        <is>
          <t>24~35</t>
        </is>
      </c>
    </row>
    <row r="35" ht="15" customHeight="1" s="192">
      <c r="B35" s="357" t="inlineStr">
        <is>
          <t>생활 Behavior</t>
        </is>
      </c>
      <c r="C35" s="351" t="inlineStr">
        <is>
          <t>25</t>
        </is>
      </c>
      <c r="D35" s="351" t="inlineStr">
        <is>
          <t>0~8</t>
        </is>
      </c>
      <c r="E35" s="351" t="inlineStr">
        <is>
          <t>8~17</t>
        </is>
      </c>
      <c r="F35" s="351" t="inlineStr">
        <is>
          <t>17~25</t>
        </is>
      </c>
    </row>
    <row r="36" ht="18.75" customHeight="1" s="192"/>
    <row r="37" ht="29.25" customHeight="1" s="192">
      <c r="B37" s="195" t="inlineStr">
        <is>
          <t>■ 4. 15% 종목보정 — 목표에만, 기준숫자엔 미적용</t>
        </is>
      </c>
    </row>
    <row r="38" ht="114.75" customHeight="1" s="192">
      <c r="B38" s="358" t="inlineStr">
        <is>
          <t>1.15 계수는 [가중치 매트릭스]의 변수박스. 아이 실제 치수·BioCode·예상키는 그대로 두고, 목표 스펙(KBO·대학 사다리) 표시에만 종목 특성(농구·배구↑)을 슬라이딩 반영. 계산 숫자는 절대 안 건드림.</t>
        </is>
      </c>
    </row>
    <row r="39" ht="18.75" customHeight="1" s="192"/>
    <row r="40" ht="15" customHeight="1" s="192">
      <c r="B40" s="195" t="inlineStr">
        <is>
          <t>■ 5. 흔한 실수 체크</t>
        </is>
      </c>
    </row>
    <row r="41" ht="15" customHeight="1" s="192">
      <c r="B41" s="359" t="inlineStr">
        <is>
          <t>□ 코드 자리 순서 = 선천-대사-생활 (흡수·활동·저장 아님)</t>
        </is>
      </c>
    </row>
    <row r="42" ht="15" customHeight="1" s="192">
      <c r="B42" s="359" t="inlineStr">
        <is>
          <t>□ 각 축 만점 다름(40·35·25) → 컷오프도 다름</t>
        </is>
      </c>
    </row>
    <row r="43" ht="15" customHeight="1" s="192">
      <c r="B43" s="359" t="inlineStr">
        <is>
          <t>□ 유전키는 선천 안에 포함(BioCode 반영). 목표키 산정에도 씀</t>
        </is>
      </c>
    </row>
    <row r="44" ht="15" customHeight="1" s="192">
      <c r="B44" s="347" t="inlineStr">
        <is>
          <t>□ 15% 보정은 목표 표시에만, 점수·예상키엔 미적용</t>
        </is>
      </c>
    </row>
    <row r="45" ht="29.25" customHeight="1" s="192">
      <c r="B45" s="359" t="inlineStr">
        <is>
          <t>□ 설문 역채점 문항 뒤집었는지 (6-점수)</t>
        </is>
      </c>
    </row>
    <row r="46" ht="15" customHeight="1" s="192">
      <c r="B46" s="191" t="n"/>
    </row>
    <row r="47" ht="43.5" customHeight="1" s="192">
      <c r="B47" s="331" t="inlineStr">
        <is>
          <t>▶ 계산의 근거(왜?)는 「★백서연결」 시트 + 「5.근거자료」 시트에서 확인</t>
        </is>
      </c>
    </row>
    <row r="48" ht="18.75" customHeight="1" s="192"/>
    <row r="49" ht="15" customHeight="1" s="192">
      <c r="B49" s="360" t="inlineStr">
        <is>
          <t>■ 참고: 만세력 DB는 별도 파일</t>
        </is>
      </c>
    </row>
    <row r="50" ht="86.25" customHeight="1" s="192">
      <c r="B50" s="359" t="inlineStr">
        <is>
          <t>생년월일시→오행 변환표(3289행)는 「만세력_DB.xlsx」로 분리 관리. 음양오행 스코어 산출 시 그 파일을 참조한다. (엔진 가벼움 유지)</t>
        </is>
      </c>
    </row>
  </sheetData>
  <mergeCells count="18">
    <mergeCell ref="B44:F44"/>
    <mergeCell ref="B43:F43"/>
    <mergeCell ref="B7:F7"/>
    <mergeCell ref="D28:F28"/>
    <mergeCell ref="D27:F27"/>
    <mergeCell ref="D23:F23"/>
    <mergeCell ref="D24:F24"/>
    <mergeCell ref="B42:F42"/>
    <mergeCell ref="D22:F22"/>
    <mergeCell ref="B19:F19"/>
    <mergeCell ref="B37:F37"/>
    <mergeCell ref="D26:F26"/>
    <mergeCell ref="B46:F46"/>
    <mergeCell ref="B8:F8"/>
    <mergeCell ref="D25:F25"/>
    <mergeCell ref="B40:F40"/>
    <mergeCell ref="B41:F41"/>
    <mergeCell ref="B49:F4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B2:H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91" min="1" max="1"/>
    <col width="17" customWidth="1" style="191" min="2" max="2"/>
    <col width="11" customWidth="1" style="191" min="3" max="5"/>
    <col width="10" customWidth="1" style="191" min="6" max="6"/>
    <col width="13" customWidth="1" style="191" min="7" max="7"/>
    <col width="10" customWidth="1" style="191" min="8" max="8"/>
  </cols>
  <sheetData>
    <row r="2" ht="23.1" customHeight="1" s="192">
      <c r="B2" s="361" t="inlineStr">
        <is>
          <t>⚙️ PHYSICAL UP 엔진 — 전체도</t>
        </is>
      </c>
    </row>
    <row r="3" ht="15" customHeight="1" s="192">
      <c r="B3" s="257" t="inlineStr">
        <is>
          <t>입력 → 3력(흡수·활동·저장) → 컷오프 → BioCode → 27유형 → 처방   (단위: %)</t>
        </is>
      </c>
    </row>
    <row r="5" ht="19.4" customHeight="1" s="192">
      <c r="B5" s="362" t="inlineStr">
        <is>
          <t>■ [표1] 5대 이력값 반영비율 — 큰 합 = 100  (★대표님 확정 예정)</t>
        </is>
      </c>
    </row>
    <row r="6" ht="15" customHeight="1" s="192">
      <c r="B6" s="259" t="inlineStr">
        <is>
          <t>이력값</t>
        </is>
      </c>
      <c r="C6" s="259" t="inlineStr">
        <is>
          <t>반영비율</t>
        </is>
      </c>
      <c r="D6" s="259" t="inlineStr">
        <is>
          <t>비고</t>
        </is>
      </c>
      <c r="E6" s="276" t="n"/>
      <c r="F6" s="276" t="n"/>
      <c r="G6" s="277" t="n"/>
    </row>
    <row r="7" ht="17.15" customHeight="1" s="192">
      <c r="B7" s="363" t="inlineStr">
        <is>
          <t>①설문</t>
        </is>
      </c>
      <c r="D7" s="265" t="inlineStr">
        <is>
          <t>현재 상태 — 주축(생활·식욕·정서)</t>
        </is>
      </c>
      <c r="E7" s="276" t="n"/>
      <c r="F7" s="276" t="n"/>
      <c r="G7" s="277" t="n"/>
    </row>
    <row r="8" ht="17.15" customHeight="1" s="192">
      <c r="B8" s="364" t="inlineStr">
        <is>
          <t>②인바디</t>
        </is>
      </c>
      <c r="D8" s="265" t="inlineStr">
        <is>
          <t>현재 몸 실측 — 저장·활동</t>
        </is>
      </c>
      <c r="E8" s="276" t="n"/>
      <c r="F8" s="276" t="n"/>
      <c r="G8" s="277" t="n"/>
    </row>
    <row r="9" ht="17.15" customHeight="1" s="192">
      <c r="B9" s="365" t="inlineStr">
        <is>
          <t>③기질(생년월일)</t>
        </is>
      </c>
      <c r="D9" s="265" t="inlineStr">
        <is>
          <t>타고난 — 사상체질+성리 심성</t>
        </is>
      </c>
      <c r="E9" s="276" t="n"/>
      <c r="F9" s="276" t="n"/>
      <c r="G9" s="277" t="n"/>
    </row>
    <row r="10" ht="17.15" customHeight="1" s="192">
      <c r="B10" s="279" t="inlineStr">
        <is>
          <t>④유전(부모키)</t>
        </is>
      </c>
      <c r="D10" s="265" t="inlineStr">
        <is>
          <t>키 잠재력 — 키트랙 별도</t>
        </is>
      </c>
      <c r="E10" s="276" t="n"/>
      <c r="F10" s="276" t="n"/>
      <c r="G10" s="277" t="n"/>
    </row>
    <row r="11" ht="17.15" customHeight="1" s="192">
      <c r="B11" s="366" t="inlineStr">
        <is>
          <t>합계</t>
        </is>
      </c>
      <c r="C11" s="367">
        <f>SUM(C7:C10)</f>
        <v/>
      </c>
      <c r="D11" s="368" t="inlineStr">
        <is>
          <t>★반드시 100 (대표님이 노란칸 채우면 자동합산)</t>
        </is>
      </c>
      <c r="E11" s="276" t="n"/>
      <c r="F11" s="276" t="n"/>
      <c r="G11" s="277" t="n"/>
    </row>
    <row r="13" ht="19.4" customHeight="1" s="192">
      <c r="B13" s="362" t="inlineStr">
        <is>
          <t>■ [표2] 각 이력값 → 흡수·활동·저장 배분 — 가로 합 = 100</t>
        </is>
      </c>
    </row>
    <row r="14" ht="15" customHeight="1" s="192">
      <c r="B14" s="259" t="inlineStr">
        <is>
          <t>이력값</t>
        </is>
      </c>
      <c r="C14" s="259" t="inlineStr">
        <is>
          <t>흡수력</t>
        </is>
      </c>
      <c r="D14" s="259" t="inlineStr">
        <is>
          <t>활동력</t>
        </is>
      </c>
      <c r="E14" s="259" t="inlineStr">
        <is>
          <t>저장력</t>
        </is>
      </c>
      <c r="F14" s="259" t="inlineStr">
        <is>
          <t>가로합</t>
        </is>
      </c>
      <c r="G14" s="259" t="inlineStr">
        <is>
          <t>상세</t>
        </is>
      </c>
    </row>
    <row r="15" ht="17.15" customHeight="1" s="192">
      <c r="B15" s="363" t="inlineStr">
        <is>
          <t>①설문</t>
        </is>
      </c>
      <c r="C15" s="369" t="n">
        <v>40</v>
      </c>
      <c r="D15" s="369" t="n">
        <v>35</v>
      </c>
      <c r="E15" s="369" t="n">
        <v>25</v>
      </c>
      <c r="F15" s="367">
        <f>SUM(C15:E15)</f>
        <v/>
      </c>
      <c r="G15" s="370" t="inlineStr">
        <is>
          <t>시트1</t>
        </is>
      </c>
    </row>
    <row r="16" ht="17.15" customHeight="1" s="192">
      <c r="B16" s="364" t="inlineStr">
        <is>
          <t>②인바디</t>
        </is>
      </c>
      <c r="C16" s="369" t="n">
        <v>0</v>
      </c>
      <c r="D16" s="369" t="n">
        <v>40</v>
      </c>
      <c r="E16" s="369" t="n">
        <v>60</v>
      </c>
      <c r="F16" s="367">
        <f>SUM(C16:E16)</f>
        <v/>
      </c>
      <c r="G16" s="370" t="inlineStr">
        <is>
          <t>시트2</t>
        </is>
      </c>
    </row>
    <row r="17" ht="17.15" customHeight="1" s="192">
      <c r="B17" s="365" t="inlineStr">
        <is>
          <t>③기질</t>
        </is>
      </c>
      <c r="C17" s="369" t="n">
        <v>40</v>
      </c>
      <c r="D17" s="369" t="n">
        <v>30</v>
      </c>
      <c r="E17" s="369" t="n">
        <v>30</v>
      </c>
      <c r="F17" s="367">
        <f>SUM(C17:E17)</f>
        <v/>
      </c>
      <c r="G17" s="370" t="inlineStr">
        <is>
          <t>시트3</t>
        </is>
      </c>
    </row>
    <row r="18" ht="17.15" customHeight="1" s="192">
      <c r="B18" s="279" t="inlineStr">
        <is>
          <t>④유전</t>
        </is>
      </c>
      <c r="C18" s="371" t="inlineStr">
        <is>
          <t>키트랙</t>
        </is>
      </c>
      <c r="D18" s="276" t="n"/>
      <c r="E18" s="277" t="n"/>
      <c r="F18" s="273" t="inlineStr">
        <is>
          <t>-</t>
        </is>
      </c>
      <c r="G18" s="370" t="inlineStr">
        <is>
          <t>시트5</t>
        </is>
      </c>
    </row>
    <row r="19" ht="15" customHeight="1" s="192">
      <c r="B19" s="372" t="inlineStr">
        <is>
          <t>★ 가로합 100 (인바디=흡수0·활동40·저장60 대표님 확정) | 흡수력 세로합은 무관</t>
        </is>
      </c>
    </row>
    <row r="21" ht="19.4" customHeight="1" s="192">
      <c r="B21" s="290" t="inlineStr">
        <is>
          <t>■ BioCode 자동 산출 — ★노란칸에 점수 입력하면 BioCode 자동</t>
        </is>
      </c>
    </row>
    <row r="22" ht="15" customHeight="1" s="192">
      <c r="B22" s="373" t="inlineStr">
        <is>
          <t>① 입력값별 원점수(0~100) + 큰 비중(%)  ※샘플: 마른 야구소년</t>
        </is>
      </c>
    </row>
    <row r="23" ht="15" customHeight="1" s="192">
      <c r="B23" s="259" t="inlineStr">
        <is>
          <t>입력값</t>
        </is>
      </c>
      <c r="C23" s="259" t="inlineStr">
        <is>
          <t>흡수점수</t>
        </is>
      </c>
      <c r="D23" s="259" t="inlineStr">
        <is>
          <t>활동점수</t>
        </is>
      </c>
      <c r="E23" s="259" t="inlineStr">
        <is>
          <t>저장점수</t>
        </is>
      </c>
      <c r="F23" s="259" t="inlineStr">
        <is>
          <t>큰비중%</t>
        </is>
      </c>
    </row>
    <row r="24" ht="15" customHeight="1" s="192">
      <c r="B24" s="281" t="inlineStr">
        <is>
          <t>설문</t>
        </is>
      </c>
      <c r="C24" s="369" t="n">
        <v>60</v>
      </c>
      <c r="D24" s="369" t="n">
        <v>80</v>
      </c>
      <c r="E24" s="369" t="n">
        <v>25</v>
      </c>
      <c r="F24" s="369" t="n">
        <v>55</v>
      </c>
    </row>
    <row r="25" ht="15" customHeight="1" s="192">
      <c r="B25" s="281" t="inlineStr">
        <is>
          <t>인바디</t>
        </is>
      </c>
      <c r="C25" s="369" t="n">
        <v>0</v>
      </c>
      <c r="D25" s="369" t="n">
        <v>50</v>
      </c>
      <c r="E25" s="369" t="n">
        <v>20</v>
      </c>
      <c r="F25" s="369" t="n">
        <v>25</v>
      </c>
    </row>
    <row r="26" ht="15" customHeight="1" s="192">
      <c r="B26" s="281" t="inlineStr">
        <is>
          <t>기질</t>
        </is>
      </c>
      <c r="C26" s="369" t="n">
        <v>55</v>
      </c>
      <c r="D26" s="369" t="n">
        <v>52</v>
      </c>
      <c r="E26" s="369" t="n">
        <v>47</v>
      </c>
      <c r="F26" s="369" t="n">
        <v>20</v>
      </c>
    </row>
    <row r="27" ht="15" customHeight="1" s="192">
      <c r="B27" s="374" t="inlineStr">
        <is>
          <t>비중합</t>
        </is>
      </c>
      <c r="C27" s="375" t="inlineStr">
        <is>
          <t>→ 100 확인</t>
        </is>
      </c>
      <c r="D27" s="276" t="n"/>
      <c r="E27" s="277" t="n"/>
      <c r="F27" s="376">
        <f>SUM(F24:F26)</f>
        <v/>
      </c>
    </row>
    <row r="29" ht="15" customHeight="1" s="192">
      <c r="B29" s="373" t="inlineStr">
        <is>
          <t>② 최종 3력 점수 → 단계 → BioCode (표2 배분 × 위 원점수, 자동)</t>
        </is>
      </c>
    </row>
    <row r="30" ht="15" customHeight="1" s="192">
      <c r="B30" s="259" t="inlineStr">
        <is>
          <t>력</t>
        </is>
      </c>
      <c r="C30" s="259" t="inlineStr">
        <is>
          <t>점수</t>
        </is>
      </c>
      <c r="D30" s="259" t="inlineStr">
        <is>
          <t>단계</t>
        </is>
      </c>
      <c r="E30" s="259" t="inlineStr">
        <is>
          <t>의미</t>
        </is>
      </c>
    </row>
    <row r="31" ht="16.4" customHeight="1" s="192">
      <c r="B31" s="281" t="inlineStr">
        <is>
          <t>흡수력</t>
        </is>
      </c>
      <c r="C31" s="377">
        <f>ROUND((C24*C15*$F$24+C25*C16*$F$25+C26*C17*$F$26)/(C15*$F$24+C16*$F$25+C17*$F$26),0)</f>
        <v/>
      </c>
      <c r="D31" s="378">
        <f>IF(C31&lt;=40,1,IF(C31&lt;=65,2,3))</f>
        <v/>
      </c>
      <c r="E31" s="273">
        <f>IF(C31&lt;=40,"낮음",IF(C31&lt;=65,"보통","높음"))</f>
        <v/>
      </c>
    </row>
    <row r="32" ht="16.4" customHeight="1" s="192">
      <c r="B32" s="281" t="inlineStr">
        <is>
          <t>활동력</t>
        </is>
      </c>
      <c r="C32" s="377">
        <f>ROUND((D24*D15*$F$24+D25*D16*$F$25+D26*D17*$F$26)/(D15*$F$24+D16*$F$25+D17*$F$26),0)</f>
        <v/>
      </c>
      <c r="D32" s="378">
        <f>IF(C32&lt;=40,1,IF(C32&lt;=65,2,3))</f>
        <v/>
      </c>
      <c r="E32" s="273">
        <f>IF(C32&lt;=40,"낮음",IF(C32&lt;=65,"보통","높음"))</f>
        <v/>
      </c>
    </row>
    <row r="33" ht="16.4" customHeight="1" s="192">
      <c r="B33" s="281" t="inlineStr">
        <is>
          <t>저장력</t>
        </is>
      </c>
      <c r="C33" s="377">
        <f>ROUND((E24*E15*$F$24+E25*E16*$F$25+E26*E17*$F$26)/(E15*$F$24+E16*$F$25+E17*$F$26),0)</f>
        <v/>
      </c>
      <c r="D33" s="378">
        <f>IF(C33&lt;=40,1,IF(C33&lt;=65,2,3))</f>
        <v/>
      </c>
      <c r="E33" s="273">
        <f>IF(C33&lt;=40,"낮음",IF(C33&lt;=65,"보통","높음"))</f>
        <v/>
      </c>
    </row>
    <row r="35" ht="22.35" customHeight="1" s="192">
      <c r="B35" s="379" t="inlineStr">
        <is>
          <t>➡️ BioCode</t>
        </is>
      </c>
      <c r="C35" s="380" t="n"/>
      <c r="D35" s="381">
        <f>D31&amp;D32&amp;D33</f>
        <v/>
      </c>
      <c r="E35" s="380" t="n"/>
      <c r="F35" s="270" t="inlineStr">
        <is>
          <t>→ 시트7에서 유형명 확인</t>
        </is>
      </c>
      <c r="G35" s="276" t="n"/>
      <c r="H35" s="277" t="n"/>
    </row>
    <row r="37" ht="15" customHeight="1" s="192">
      <c r="B37" s="382" t="inlineStr">
        <is>
          <t>★ 노란칸(원점수·비중)이나 표2 배분%를 바꾸면 → 점수·단계·BioCode 자동 재계산</t>
        </is>
      </c>
    </row>
  </sheetData>
  <mergeCells count="20">
    <mergeCell ref="B2:G2"/>
    <mergeCell ref="D9:G9"/>
    <mergeCell ref="D8:G8"/>
    <mergeCell ref="F35:H35"/>
    <mergeCell ref="B13:G13"/>
    <mergeCell ref="B37:H37"/>
    <mergeCell ref="B19:G19"/>
    <mergeCell ref="C27:E27"/>
    <mergeCell ref="D10:G10"/>
    <mergeCell ref="B22:H22"/>
    <mergeCell ref="B5:G5"/>
    <mergeCell ref="B21:H21"/>
    <mergeCell ref="D6:G6"/>
    <mergeCell ref="C18:E18"/>
    <mergeCell ref="D11:G11"/>
    <mergeCell ref="B3:G3"/>
    <mergeCell ref="D7:G7"/>
    <mergeCell ref="B29:H29"/>
    <mergeCell ref="B35:C35"/>
    <mergeCell ref="D35:E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2026-06-28T07:21:59Z</dcterms:created>
  <dcterms:modified xmlns:dcterms="http://purl.org/dc/terms/" xmlns:xsi="http://www.w3.org/2001/XMLSchema-instance" xsi:type="dcterms:W3CDTF">2026-07-08T06:12:46Z</dcterms:modified>
  <cp:revision>0</cp:revision>
</cp:coreProperties>
</file>